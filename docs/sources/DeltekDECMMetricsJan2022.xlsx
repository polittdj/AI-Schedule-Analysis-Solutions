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https://nasa-my.sharepoint.com/personal/dpolitte_ndc_nasa_gov/Documents/Desktop/Politte/Schedule/Acumen Fuse/Acumen Fuse/"/>
    </mc:Choice>
  </mc:AlternateContent>
  <xr:revisionPtr revIDLastSave="1" documentId="11_9C6896E7A4CF66ACDBC4AC6CC1E2E47DD4AF7784" xr6:coauthVersionLast="47" xr6:coauthVersionMax="47" xr10:uidLastSave="{228D4B59-B022-413D-B35D-63BD1FC6DFB9}"/>
  <bookViews>
    <workbookView xWindow="38280" yWindow="1875" windowWidth="77040" windowHeight="21120" tabRatio="399" xr2:uid="{00000000-000D-0000-FFFF-FFFF00000000}"/>
  </bookViews>
  <sheets>
    <sheet name="Deltek EVMS-DECM Metrics V5.0" sheetId="3" r:id="rId1"/>
    <sheet name="Deleted in V5.0" sheetId="4" r:id="rId2"/>
  </sheets>
  <externalReferences>
    <externalReference r:id="rId3"/>
    <externalReference r:id="rId4"/>
    <externalReference r:id="rId5"/>
    <externalReference r:id="rId6"/>
    <externalReference r:id="rId7"/>
  </externalReferences>
  <definedNames>
    <definedName name="_xlnm._FilterDatabase" localSheetId="0" hidden="1">'Deltek EVMS-DECM Metrics V5.0'!$A$3:$Q$207</definedName>
    <definedName name="a10q1">[1]Wizard!$G$33</definedName>
    <definedName name="A1Q1">[2]Wizard!$G$3</definedName>
    <definedName name="A1Q1.1">[3]Wizard!$H$3</definedName>
    <definedName name="a1q1a">[4]Wizard!$G$3</definedName>
    <definedName name="a1q1b">[4]Wizard!$G$4</definedName>
    <definedName name="a1q1c">[4]Wizard!$G$5</definedName>
    <definedName name="a1q2">[4]Wizard!$G$6</definedName>
    <definedName name="A1Q2.1">[2]Wizard!$H$4</definedName>
    <definedName name="A1Q2.2">[2]Wizard!$H$5</definedName>
    <definedName name="A1Q2.3">[2]Wizard!$H$6</definedName>
    <definedName name="A1Q2a">[2]Wizard!$G$5</definedName>
    <definedName name="A1Q2b">[2]Wizard!$G$7</definedName>
    <definedName name="A1Q3">[5]Wizard!$G$5</definedName>
    <definedName name="a2q1">[4]Wizard!$G$8</definedName>
    <definedName name="A2Q1.1">[2]Wizard!$H$9</definedName>
    <definedName name="A2Q1.2">[2]Wizard!$H$10</definedName>
    <definedName name="A2Q1.3">[2]Wizard!$H$11</definedName>
    <definedName name="A2Q1.4">[2]Wizard!$H$12</definedName>
    <definedName name="A2Q1.5">[2]Wizard!$H$13</definedName>
    <definedName name="A2Q1.6">[2]Wizard!$H$14</definedName>
    <definedName name="A2Q1.7">[2]Wizard!$H$15</definedName>
    <definedName name="A2Q1a">[2]Wizard!$G$11</definedName>
    <definedName name="A2Q1b">[2]Wizard!$G$15</definedName>
    <definedName name="a2q2">[4]Wizard!$G$9</definedName>
    <definedName name="A2Q2.1">[5]Wizard!$H$13</definedName>
    <definedName name="A2Q2.2">[5]Wizard!$H$14</definedName>
    <definedName name="A2Q3a">[5]Wizard!$G$16</definedName>
    <definedName name="A2Q3a.1">[5]Wizard!$H$15</definedName>
    <definedName name="A2Q3a.2">[5]Wizard!$H$16</definedName>
    <definedName name="A2Q3b">[5]Wizard!$G$18</definedName>
    <definedName name="A2Q3b.1">[5]Wizard!$H$17</definedName>
    <definedName name="A2Q3b.2">[5]Wizard!$H$18</definedName>
    <definedName name="a3q1">[4]Wizard!$G$11</definedName>
    <definedName name="a3q2">[4]Wizard!$G$12</definedName>
    <definedName name="a3q3">[4]Wizard!$G$13</definedName>
    <definedName name="A3Q3.1">[2]Wizard!$H$20</definedName>
    <definedName name="A3Q4">[2]Wizard!$G$21</definedName>
    <definedName name="a4q1">[4]Wizard!$G$15</definedName>
    <definedName name="A4Q1a">[2]Wizard!$G$23</definedName>
    <definedName name="A4Q1b">[2]Wizard!$G$24</definedName>
    <definedName name="a4q2">[4]Wizard!$G$17</definedName>
    <definedName name="A5Q1">[2]Wizard!$G$27</definedName>
    <definedName name="A5Q1.1">[3]Wizard!$H$13</definedName>
    <definedName name="A5Q2">[2]Wizard!$G$28</definedName>
    <definedName name="A5Q2.1">[3]Wizard!$H$14</definedName>
    <definedName name="A6Q1">[2]Wizard!$G$31</definedName>
    <definedName name="A6Q1.1">[2]Wizard!$H$30</definedName>
    <definedName name="A6Q1.2">[2]Wizard!$H$31</definedName>
    <definedName name="A6Q1.3">[2]Wizard!$H$32</definedName>
    <definedName name="A7Q1">[2]Wizard!$G$36</definedName>
    <definedName name="A7Q1.1">[2]Wizard!$H$34</definedName>
    <definedName name="A7Q1.2">[2]Wizard!$H$35</definedName>
    <definedName name="A7Q1.3">[2]Wizard!$H$36</definedName>
    <definedName name="A7Q1.4">[2]Wizard!$H$37</definedName>
    <definedName name="A7Q2.1">[3]Wizard!$H$19</definedName>
    <definedName name="a8q1">[1]Wizard!$G$26</definedName>
    <definedName name="A8Q1a">[3]Wizard!$H$21</definedName>
    <definedName name="A8Q1b">[3]Wizard!$G$23</definedName>
    <definedName name="A8Q1b.1">[3]Wizard!$H$22</definedName>
    <definedName name="A8Q1b.2">[3]Wizard!$H$23</definedName>
    <definedName name="a8q2">[1]Wizard!$G$27</definedName>
    <definedName name="a9q1">[1]Wizard!$G$29</definedName>
    <definedName name="a9q2">[1]Wizard!$G$31</definedName>
    <definedName name="evaslookup" localSheetId="0">'Deltek EVMS-DECM Metrics V5.0'!$B$3:$J$207</definedName>
    <definedName name="evaslookup">#REF!</definedName>
    <definedName name="_xlnm.Print_Titles" localSheetId="0">'Deltek EVMS-DECM Metrics V5.0'!$2:$3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3" l="1"/>
  <c r="A8" i="3" s="1"/>
  <c r="A9" i="3" s="1"/>
  <c r="A11" i="3" s="1"/>
  <c r="A12" i="3" s="1"/>
  <c r="A13" i="3" s="1"/>
  <c r="A14" i="3" s="1"/>
  <c r="A15" i="3" s="1"/>
  <c r="A16" i="3" s="1"/>
  <c r="A17" i="3" s="1"/>
  <c r="A18" i="3" s="1"/>
  <c r="A19" i="3" s="1"/>
  <c r="A20" i="3" s="1"/>
  <c r="A22" i="3" s="1"/>
  <c r="A24" i="3" s="1"/>
  <c r="A25" i="3" s="1"/>
  <c r="A26" i="3" s="1"/>
  <c r="A28" i="3" s="1"/>
  <c r="A31" i="3" s="1"/>
  <c r="A32" i="3" s="1"/>
  <c r="A33" i="3" s="1"/>
  <c r="A34" i="3" s="1"/>
  <c r="A35" i="3" s="1"/>
  <c r="A37" i="3" l="1"/>
  <c r="A38" i="3" s="1"/>
  <c r="A39" i="3" s="1"/>
  <c r="A40" i="3" l="1"/>
  <c r="A41" i="3" s="1"/>
  <c r="A42" i="3" s="1"/>
  <c r="A43" i="3" s="1"/>
  <c r="A44" i="3" s="1"/>
  <c r="A45" i="3" s="1"/>
  <c r="A46" i="3" s="1"/>
  <c r="A47" i="3" s="1"/>
  <c r="A48" i="3" s="1"/>
  <c r="A49" i="3" s="1"/>
  <c r="A50" i="3" s="1"/>
  <c r="A52" i="3" l="1"/>
  <c r="A54" i="3" s="1"/>
  <c r="A55" i="3" s="1"/>
  <c r="A57" i="3" s="1"/>
  <c r="A59" i="3" s="1"/>
  <c r="A62" i="3" s="1"/>
  <c r="A63" i="3" s="1"/>
  <c r="A64" i="3" s="1"/>
  <c r="A65" i="3" s="1"/>
  <c r="A67" i="3" s="1"/>
  <c r="A68" i="3" s="1"/>
  <c r="A69" i="3" s="1"/>
  <c r="A72" i="3" s="1"/>
  <c r="A73" i="3" s="1"/>
  <c r="A74" i="3" s="1"/>
  <c r="A75" i="3" s="1"/>
  <c r="A77" i="3" l="1"/>
  <c r="A79" i="3" s="1"/>
  <c r="A80" i="3" s="1"/>
  <c r="A82" i="3" l="1"/>
  <c r="A83" i="3" l="1"/>
  <c r="A85" i="3" l="1"/>
  <c r="A87" i="3" s="1"/>
  <c r="A88" i="3" s="1"/>
  <c r="A89" i="3" s="1"/>
  <c r="A90" i="3" s="1"/>
  <c r="A92" i="3" s="1"/>
  <c r="A94" i="3" s="1"/>
  <c r="A96" i="3" s="1"/>
  <c r="A97" i="3" s="1"/>
  <c r="A98" i="3" s="1"/>
  <c r="A99" i="3" s="1"/>
  <c r="A101" i="3" s="1"/>
  <c r="A103" i="3" s="1"/>
  <c r="A104" i="3" s="1"/>
  <c r="A105" i="3" s="1"/>
  <c r="A107" i="3" s="1"/>
  <c r="A109" i="3" s="1"/>
  <c r="A111" i="3" s="1"/>
  <c r="A113" i="3" s="1"/>
  <c r="A116" i="3" s="1"/>
  <c r="A118" i="3" s="1"/>
  <c r="A120" i="3" s="1"/>
  <c r="A121" i="3" s="1"/>
  <c r="A122" i="3" s="1"/>
  <c r="A124" i="3" s="1"/>
  <c r="A125" i="3" l="1"/>
  <c r="A127" i="3" s="1"/>
  <c r="A129" i="3" s="1"/>
  <c r="A131" i="3" s="1"/>
  <c r="A133" i="3" s="1"/>
  <c r="A135" i="3" s="1"/>
  <c r="A137" i="3" s="1"/>
  <c r="A139" i="3" s="1"/>
  <c r="A140" i="3" s="1"/>
  <c r="A142" i="3" s="1"/>
  <c r="A143" i="3" l="1"/>
  <c r="A145" i="3" s="1"/>
  <c r="A146" i="3" s="1"/>
  <c r="A147" i="3" s="1"/>
  <c r="A148" i="3" s="1"/>
  <c r="A150" i="3" s="1"/>
  <c r="A152" i="3" s="1"/>
  <c r="A153" i="3" s="1"/>
  <c r="A155" i="3" s="1"/>
  <c r="A156" i="3" s="1"/>
  <c r="A158" i="3" s="1"/>
  <c r="A159" i="3" s="1"/>
  <c r="A160" i="3" s="1"/>
  <c r="A163" i="3" l="1"/>
  <c r="A165" i="3" s="1"/>
  <c r="A166" i="3" s="1"/>
  <c r="A167" i="3" s="1"/>
  <c r="A169" i="3" s="1"/>
  <c r="A170" i="3" s="1"/>
  <c r="A171" i="3" s="1"/>
  <c r="A172" i="3" s="1"/>
  <c r="A174" i="3" s="1"/>
  <c r="A176" i="3" s="1"/>
  <c r="A177" i="3" s="1"/>
  <c r="A179" i="3" s="1"/>
  <c r="A180" i="3" s="1"/>
  <c r="A181" i="3" s="1"/>
  <c r="A182" i="3" s="1"/>
  <c r="A183" i="3" s="1"/>
  <c r="A184" i="3" s="1"/>
  <c r="A185" i="3" s="1"/>
  <c r="A186" i="3" s="1"/>
  <c r="A187" i="3" s="1"/>
  <c r="A188" i="3" s="1"/>
  <c r="A189" i="3" s="1"/>
  <c r="A191" i="3" s="1"/>
  <c r="A192" i="3" l="1"/>
  <c r="A193" i="3" s="1"/>
  <c r="A194" i="3" s="1"/>
  <c r="A195" i="3" s="1"/>
  <c r="A197" i="3" s="1"/>
  <c r="A198" i="3" s="1"/>
  <c r="A199" i="3" s="1"/>
  <c r="A202" i="3" s="1"/>
  <c r="A204" i="3" s="1"/>
  <c r="A205" i="3" s="1"/>
  <c r="A206" i="3" s="1"/>
  <c r="A207" i="3" s="1"/>
</calcChain>
</file>

<file path=xl/sharedStrings.xml><?xml version="1.0" encoding="utf-8"?>
<sst xmlns="http://schemas.openxmlformats.org/spreadsheetml/2006/main" count="2318" uniqueCount="1097">
  <si>
    <t>Deltek Notes</t>
  </si>
  <si>
    <t>Testing and Metrics</t>
  </si>
  <si>
    <t>Metric Count</t>
  </si>
  <si>
    <t>Metric ID</t>
  </si>
  <si>
    <t>New\Updated</t>
  </si>
  <si>
    <t>Attribute</t>
  </si>
  <si>
    <t>Version</t>
  </si>
  <si>
    <t>Test Definition</t>
  </si>
  <si>
    <t>Test Metric
Numerator (X)</t>
  </si>
  <si>
    <t>Test Metric
Denominator (Y)</t>
  </si>
  <si>
    <t>Metric Threshold</t>
  </si>
  <si>
    <t>Test Type</t>
  </si>
  <si>
    <t>Acumen Metric Level</t>
  </si>
  <si>
    <t>Acumen Test Type</t>
  </si>
  <si>
    <t>Notes</t>
  </si>
  <si>
    <t>Primary Formula</t>
  </si>
  <si>
    <t>Secondary Formula</t>
  </si>
  <si>
    <t>Tripwire Formula</t>
  </si>
  <si>
    <t>Secondary Tripwire Formula</t>
  </si>
  <si>
    <t>Guideline 1</t>
  </si>
  <si>
    <t>Define the authorized work elements for the program. A work breakdown structure (WBS), tailored for effective internal management control, is commonly used in this process.</t>
  </si>
  <si>
    <t>01A101b</t>
  </si>
  <si>
    <t>V5.0</t>
  </si>
  <si>
    <t>Is there a single product-oriented WBS?</t>
  </si>
  <si>
    <t>X = Occurrence of a WBS that is not product-oriented</t>
  </si>
  <si>
    <t>n/a</t>
  </si>
  <si>
    <t>X = 0</t>
  </si>
  <si>
    <t>M</t>
  </si>
  <si>
    <t>ACT</t>
  </si>
  <si>
    <t>if(_01A101b_X &lt; 0, -1, if(_01A101b_X &gt; 0,_01A101b_X ,0))</t>
  </si>
  <si>
    <t>N/A</t>
  </si>
  <si>
    <t>01A201a</t>
  </si>
  <si>
    <t>updated assumptions did not affect formula</t>
  </si>
  <si>
    <t xml:space="preserve">Are contract work scope (SOW) requirements included in the WBS?
</t>
  </si>
  <si>
    <t xml:space="preserve">X = Count of sampled SOW paragraphs identifying scope that are not in the WBS
</t>
  </si>
  <si>
    <t>Y = Total count of sampled SOW paragraphs identifying scope</t>
  </si>
  <si>
    <t>X/Y = 0%</t>
  </si>
  <si>
    <t>_01A201a_X</t>
  </si>
  <si>
    <t>IF(_01A201a_X &lt; 0, -0.01,
  IF((_01A201a_X &lt; _01A201a_Y), (_01A201a_X / _01A201a_Y), -0.01)
)</t>
  </si>
  <si>
    <t>Guideline 2</t>
  </si>
  <si>
    <t>Identify the program organizational structure, including the major subcontractors responsible for accomplishing the authorized work, and define the organizational elements in which work will be planned and controlled.</t>
  </si>
  <si>
    <t>02A101a</t>
  </si>
  <si>
    <t xml:space="preserve">Is there a single OBS used on the contract? </t>
  </si>
  <si>
    <t>X = Count of mismatches between the program organizational breakdown structure (OBS) and IPMR/CPR Format 2</t>
  </si>
  <si>
    <t>if(_02A101a_X &gt; 0,_02A101a_X ,-1)</t>
  </si>
  <si>
    <t>02A102a</t>
  </si>
  <si>
    <t>Are all major subcontractors/suppliers and intra-organizational work with an EVMS DFARS clause flow down requirement included in the OBS reporting requirements in Format 2?</t>
  </si>
  <si>
    <t>X = Count of major subcontractors/suppliers and intra-organizational elements with an EVMS DFARS clause flow down requirement not identified in the OBS reporting requirements in Format 2</t>
  </si>
  <si>
    <t>Y = Total count of major subcontractors/suppliers and intra-organizational elements with an EVMS DFARS clause flow down requirement</t>
  </si>
  <si>
    <t>_02A102a_X</t>
  </si>
  <si>
    <t>IF(_02A102a_Y &lt;0, -0.01,
 if((_02A102a_Y &gt; 0), (_02A102a_X / _02A102a_Y), -0.01)
)</t>
  </si>
  <si>
    <t>Guideline 3</t>
  </si>
  <si>
    <t>Provide for the integration of the company’s planning, scheduling, budgeting, work authorization and cost accumulation processes with each other, and as appropriate, the program work breakdown structure and the program organizational structure.</t>
  </si>
  <si>
    <t>03A101a</t>
  </si>
  <si>
    <t>Is control account data traceable between system artifacts including schedule, cost data, and work authorization documents?
• Do baseline dates align between the work authorization documentation (WAD) and IMS? (count)</t>
  </si>
  <si>
    <t xml:space="preserve">X = Count of sampled incomplete CAs with IMS baseline dates outside the WAD POP </t>
  </si>
  <si>
    <t>Y = Total count of  incomplete CAs in IMS that were sampled</t>
  </si>
  <si>
    <r>
      <t xml:space="preserve">X/Y </t>
    </r>
    <r>
      <rPr>
        <sz val="12"/>
        <rFont val="Calibri"/>
        <family val="2"/>
      </rPr>
      <t>≤</t>
    </r>
    <r>
      <rPr>
        <sz val="12"/>
        <rFont val="Calibri"/>
        <family val="2"/>
        <scheme val="minor"/>
      </rPr>
      <t xml:space="preserve"> 5% </t>
    </r>
  </si>
  <si>
    <t>CA</t>
  </si>
  <si>
    <t>A</t>
  </si>
  <si>
    <t>DCMA Manual test that IS automated in Acumen</t>
  </si>
  <si>
    <t>Filters:
Act_WP_AFinish &gt; 0
ActivityCount &gt; 0
SUM(IF(
  ((INT(ActMinBStart)  &lt; INT(WAD_BaselineStart))
 + (INT(ActMaxBFinish) &gt; INT(WAD_BaselineFinish)) ) &gt; 0
 , 1, 0)
)</t>
  </si>
  <si>
    <t xml:space="preserve">Filters:
Act_WP_AFinish &gt; 0
ActivityCount &gt; 0
</t>
  </si>
  <si>
    <t>Filters:
Act_WP_AFinish &gt; 0
ActivityCount &gt; 0
OR(
 (INT(ActMinBStart) &lt; INT(WAD_BaselineStart))
 ,
 (INT(ActMaxBFinish) &gt; INT(WAD_BaselineFinish))
)</t>
  </si>
  <si>
    <t>OR(
 (INT(BaselineStart) &lt; INT(CaWadBStart))
 ,
 (INT(BaselineFinish) &gt; INT(CaWadBFinish))
)</t>
  </si>
  <si>
    <t>03A101c</t>
  </si>
  <si>
    <t>Is control account data traceable between system artifacts including schedule, cost data, and work authorization documents?
• Does BAC (hours or dollars) within the EV Cost Tool reconcile to the work authorization documentation (WAD)? (count)</t>
  </si>
  <si>
    <t>X = Count of sampled incomplete CAs where the BAC from the WAD does not match the BAC in the EV Cost Tool data</t>
  </si>
  <si>
    <t>Y = Total count of sampled incomplete CAs in the EV Cost Tool data</t>
  </si>
  <si>
    <r>
      <t xml:space="preserve">X/Y </t>
    </r>
    <r>
      <rPr>
        <sz val="12"/>
        <rFont val="Calibri"/>
        <family val="2"/>
      </rPr>
      <t>≤</t>
    </r>
    <r>
      <rPr>
        <sz val="12"/>
        <rFont val="Calibri"/>
        <family val="2"/>
        <scheme val="minor"/>
      </rPr>
      <t xml:space="preserve"> 10% </t>
    </r>
  </si>
  <si>
    <t>Filters:
CA_Not_Complete = 1
SUM(
  IF(ABS(Round(Bac, WP_RL) - Round(WAD_TotalDollars, WP_RL)) &gt;100, 1, 0)
)</t>
  </si>
  <si>
    <t>Filters:
CA_Not_Complete = 1
Automatic</t>
  </si>
  <si>
    <t>Filters:
CA_Not_Complete = 1
AND(
  ABS(Round(Bac, WP_RL) - Round(WAD_TotalDollars, WP_RL)) &gt;100
)</t>
  </si>
  <si>
    <t>03A101e</t>
  </si>
  <si>
    <t>Is control account data traceable between system artifacts including schedule, cost data, and work authorization documents?
• Does discrete WP EV percent complete align between the IMS and EV Cost Tool?</t>
  </si>
  <si>
    <t>X = Count of discrete WPs in IMS where EV % complete does not match EV % complete in the EV Cost Tool data</t>
  </si>
  <si>
    <t>Y = Total count of discrete WPs in the IMS</t>
  </si>
  <si>
    <t xml:space="preserve">X/Y = 0% </t>
  </si>
  <si>
    <t>A/M</t>
  </si>
  <si>
    <t>WP</t>
  </si>
  <si>
    <t>Filters:
WP_Is_Discrete = 1
ActivityCount &gt; 0
SUM(
  IF(ABS(Round(Act_PPC, 2) - Round(PhysicalPctComplete, 2)) &gt; 1
  , 1, 0)
*1 )</t>
  </si>
  <si>
    <t>Filters:
WP_Is_Discrete = 1
ActivityCount &gt; 0
Automatic</t>
  </si>
  <si>
    <t>Filters:
WP_Is_Discrete = 1
ActivityCount &gt; 0
AND(
 (ABS(Round(Act_PPC, 2) - Round(PhysicalPctComplete, 2)) &gt; 1)
)</t>
  </si>
  <si>
    <t>AND(Id &lt;&gt; "")</t>
  </si>
  <si>
    <t>03A101f</t>
  </si>
  <si>
    <t xml:space="preserve">Is control account data traceable between system artifacts including schedule, cost data, and work authorization documents?
• Do the baseline dates in the IMS align with the dates in the EV Cost Tool?
</t>
  </si>
  <si>
    <t>X = Count of incomplete WPs/PPs in the IMS where POP does not align with EV Cost Tool POP</t>
  </si>
  <si>
    <t>Y = Total count of incomplete WPs/PPs in the IMS</t>
  </si>
  <si>
    <r>
      <t xml:space="preserve">X/Y </t>
    </r>
    <r>
      <rPr>
        <sz val="12"/>
        <rFont val="Calibri"/>
        <family val="2"/>
      </rPr>
      <t>≤</t>
    </r>
    <r>
      <rPr>
        <sz val="12"/>
        <rFont val="Calibri"/>
        <family val="2"/>
        <scheme val="minor"/>
      </rPr>
      <t xml:space="preserve"> 0% </t>
    </r>
  </si>
  <si>
    <t>Per DCMA this now includes both WP and PP</t>
  </si>
  <si>
    <t>Filters:
ActivityCount &gt; 0
Act_WP_AFinish &gt; 0
SUM(IF(
  ((FISCALPERIODNUM(ActMinBStart,Project) &lt;&gt; FISCALPERIODNUM(TimePhaseBcwsStart,Project))
  +
  (FISCALPERIODNUM(ActMaxBFinish,Project) &lt;&gt; FISCALPERIODNUM(TimePhaseBcwsFinish,Project))
  ) &gt; 0
  , 1, 0)
)</t>
  </si>
  <si>
    <t>Filters:
ActivityCount &gt; 0
Act_WP_AFinish &gt; 0
Automatic</t>
  </si>
  <si>
    <t xml:space="preserve">Filters:
ActivityCount &gt; 0
Act_WP_AFinish &gt; 0
OR(
  (FISCALPERIODNUM(ActMinBStart,Project) &lt;&gt; FISCALPERIODNUM(TimePhaseBcwsStart,Project))
  ,
  (FISCALPERIODNUM(ActMaxBFinish,Project) &lt;&gt; FISCALPERIODNUM(TimePhaseBcwsFinish,Project))
)
</t>
  </si>
  <si>
    <r>
      <t xml:space="preserve">OR(
 FISCALPERIODNUM(BaselineStart,Project) </t>
    </r>
    <r>
      <rPr>
        <sz val="12"/>
        <color rgb="FFFF0000"/>
        <rFont val="Calibri"/>
        <family val="2"/>
        <scheme val="minor"/>
      </rPr>
      <t>&lt;</t>
    </r>
    <r>
      <rPr>
        <sz val="12"/>
        <rFont val="Calibri"/>
        <family val="2"/>
        <scheme val="minor"/>
      </rPr>
      <t xml:space="preserve"> FISCALPERIODNUM(WP_BCWS_Start,Project)
 ,
 FISCALPERIODNUM(BaselineFinish,Project) </t>
    </r>
    <r>
      <rPr>
        <sz val="12"/>
        <color rgb="FFFF0000"/>
        <rFont val="Calibri"/>
        <family val="2"/>
        <scheme val="minor"/>
      </rPr>
      <t>&gt;</t>
    </r>
    <r>
      <rPr>
        <sz val="12"/>
        <rFont val="Calibri"/>
        <family val="2"/>
        <scheme val="minor"/>
      </rPr>
      <t xml:space="preserve"> FISCALPERIODNUM(WP_BCWS_Finish,Project)
)</t>
    </r>
  </si>
  <si>
    <t>03A101g</t>
  </si>
  <si>
    <t>Is control account data traceable between system artifacts including schedule, cost data, and work authorization documents?
• Do the CA baseline dates align between the WAD and the EV Cost Tool?</t>
  </si>
  <si>
    <t>X = Count of sampled incomplete CAs with baseline start and baseline finish dates outside the WAD POP in the EV Cost Tool data</t>
  </si>
  <si>
    <t>Filters:
CA_Not_Complete = 1
SUM(IF(
 ((FISCALPERIODNUM(TimePhaseBcwsStart,Project)  &lt; FISCALPERIODNUM(WAD_BaselineStart,Project))
  +
 (FISCALPERIODNUM(TimePhaseBcwsFinish,Project) &gt; FISCALPERIODNUM(WAD_BaselineFinish,Project))
 ) &gt; 0
 ,1 ,0)
)</t>
  </si>
  <si>
    <t xml:space="preserve">Filters:
CA_Not_Complete = 1
</t>
  </si>
  <si>
    <t>Filters:
CA_Not_Complete = 1
OR(
 (FISCALPERIODNUM(TimePhaseBcwsStart,Project) &lt; FISCALPERIODNUM(WAD_BaselineStart,Project))
 ,
 (FISCALPERIODNUM(TimePhaseBcwsFinish,Project) &gt; FISCALPERIODNUM(WAD_BaselineFinish,Project))
)</t>
  </si>
  <si>
    <t>03A101h</t>
  </si>
  <si>
    <t xml:space="preserve">Is control account data traceable between the system artifacts including schedule, cost data, and work authorization documents?
• Does the OBS align between the IMS and EV Cost Tool?
</t>
  </si>
  <si>
    <t>X = Count of incomplete CAs where the OBS element in the IMS does not match the OBS element in the EV Cost Tool data</t>
  </si>
  <si>
    <t>Y = Total count of incomplete CAs in the IMS</t>
  </si>
  <si>
    <t>Filters:
Act_WP_AFinish &gt; 0
SUM(
  IF( ((ActOBS_Diff &gt; 0)+(CObs = ""))&gt;0, 1, 0)
)
updated calculated field ActOBSDiff
SUM(
 If(
   ((ACT(CObs) &lt;&gt; ACT(ControlAccountObs))
   +
   ((ACT(Id)&lt;&gt;"") * (ACT(CObs) = "")))
   &gt; 0
 ,1 , 0)
)</t>
  </si>
  <si>
    <t>Filters:
Act_WP_AFinish &gt; 0</t>
  </si>
  <si>
    <t>Filters:
Act_WP_AFinish &gt; 0
AND(
  (ActOBS_Diff &gt; 0), (CObs = "")
)</t>
  </si>
  <si>
    <t>AND(CObs &lt;&gt; ControlAccountObs)</t>
  </si>
  <si>
    <t>03A101i</t>
  </si>
  <si>
    <t xml:space="preserve">Is control account data traceable between system artifacts including schedule, cost data, and work authorization documents?
• Does the WBS align between the IMS and EV Cost Tool?
</t>
  </si>
  <si>
    <t xml:space="preserve">X = Count of incomplete CAs where IMS WBS does not match EV Cost Tool WBS </t>
  </si>
  <si>
    <t>Filters:
Act_WP_AFinish &gt; 0
SUM(
  IF( ((ActWBS_Diff &gt; 0)+(CWbs = ""))&gt;0, 1, 0)
)
Updated calculated field ActWBSDiff
SUM(
 If(
   ((ACT(CWbs) &lt;&gt; ACT(ControlAccountWbs))
   +
   ((ACT(Id)&lt;&gt;"") * (ACT(CWbs) = "")))
   &gt; 0
 ,1 , 0)
)</t>
  </si>
  <si>
    <t xml:space="preserve">Filters:
Act_WP_AFinish &gt; 0
</t>
  </si>
  <si>
    <t>Filters:
Act_WP_AFinish &gt; 0
OR(
  (ActWBS_Diff &gt; 0) , (CWbs = "")
)</t>
  </si>
  <si>
    <t>OR(CWbs &lt;&gt; ControlAccountWbs)</t>
  </si>
  <si>
    <t>03A102a</t>
  </si>
  <si>
    <t>Is subcontractor/supplier data aligned with and traceable through the prime system?
• Do the subcontractor/supplier EVM data elements reconcile to the prime EV Cost Tool?</t>
  </si>
  <si>
    <t xml:space="preserve">X = The sampled BAC value of the incomplete subcontractor/supplier CAs where a data element (BCWP, BCWS, ACWP, BAC) from the subcontractor's/supplier’s IPMR/CPR cannot be reconciled to the prime EV Cost Tool </t>
  </si>
  <si>
    <t>Y = Sum of sampled BAC for CA element tested</t>
  </si>
  <si>
    <t>_03A102a_X</t>
  </si>
  <si>
    <t>IF(_03A102a_Y &lt; 0, -0.01, 
 IF((_03A102a_Y &gt; 0),(_03A102a_X / _03A102a_Y),0)
)</t>
  </si>
  <si>
    <t>03A103a</t>
  </si>
  <si>
    <t>Do the forecast start and finish dates in the subcontractor/supplier IMS reconcile to the prime IMS?</t>
  </si>
  <si>
    <t xml:space="preserve">X = Count of sampled incomplete tasks/activities &amp; milestones in the subcontractor/supplier IMS with a forecast start/finish date that cannot be reconciled to the forecast start/finish date in the prime IMS </t>
  </si>
  <si>
    <t>Y = Total count of sampled incomplete subcontractor/supplier tasks/activities &amp; milestones in the prime contractor IMS</t>
  </si>
  <si>
    <t>DCMA Manual test that could be automated</t>
  </si>
  <si>
    <t>_03A103a_X</t>
  </si>
  <si>
    <t>IF(_03A103a_Y &lt; 0, -0.01,
 if((_03A103a_Y &gt; 0),(_03A103a_X / _03A103a_Y),0)
)</t>
  </si>
  <si>
    <t>03A103b</t>
  </si>
  <si>
    <t>Do the baseline start and finish dates in the subcontractor/supplier IMS reconcile to the prime IMS?</t>
  </si>
  <si>
    <t xml:space="preserve">X = Count of sampled incomplete tasks/activities &amp; milestones in the subcontractor/supplier IMS with a baseline start/finish date that cannot be reconciled to the baseline start/finish date in the prime IMS </t>
  </si>
  <si>
    <t>Y =  Total count of sampled incomplete subcontractor/supplier tasks/activities &amp; milestones in the prime contractor IMS</t>
  </si>
  <si>
    <t>_03A103b_X</t>
  </si>
  <si>
    <t>IF(_03A103b_Y &lt; 0, -0.01,
 if((_03A103b_Y &gt; 0),(_03A103b_X / _03A103b_Y),0)
)</t>
  </si>
  <si>
    <t>Guideline 4</t>
  </si>
  <si>
    <t>Identify the company organization or function responsible for controlling overhead (indirect costs).</t>
  </si>
  <si>
    <t>04A101a</t>
  </si>
  <si>
    <t>Updated</t>
  </si>
  <si>
    <t>Has an organizational authority been established for indirect cost management?</t>
  </si>
  <si>
    <t>X = Count of the functions/positions identified within the EVMSD that do not correspond with the functions/positions responsible for approval and control of indirect costs found in the organizational chart(s) or any other company documentation</t>
  </si>
  <si>
    <t>IF(_04A101a_X &lt; 0, -1, _04A101a_X)</t>
  </si>
  <si>
    <t>Guideline 5</t>
  </si>
  <si>
    <t>Provide for integration of the program work breakdown structure and the program organizational structure in a manner that permits cost and schedule performance measurement by elements of either or both structures as needed.</t>
  </si>
  <si>
    <t>05A101a</t>
  </si>
  <si>
    <t>Does each control account have exactly one responsible organizational element assigned?</t>
  </si>
  <si>
    <t>X = Count of CAs with more than one OBS element or no OBS elements assigned</t>
  </si>
  <si>
    <t xml:space="preserve">Y = Total count of CAs </t>
  </si>
  <si>
    <t>X = 0%</t>
  </si>
  <si>
    <t>SUM(
 IF(
  ( (WP_OBS_Diff &gt; 1) + (CObs="") ) &gt;0, 1, 0
 )
)</t>
  </si>
  <si>
    <t>Automatic</t>
  </si>
  <si>
    <t>AND(OR(WP_OBS_Diff &gt; 1,CObs=""))</t>
  </si>
  <si>
    <t>05A102a</t>
  </si>
  <si>
    <t>Is each control account assigned to a single Control Account Manager (CAM)?</t>
  </si>
  <si>
    <t xml:space="preserve">X = Count of CAs that have more than one CAM or no CAM assigned </t>
  </si>
  <si>
    <t>Y = Total count of CAs</t>
  </si>
  <si>
    <t>SUM(
 IF(
  ( (WP_CAM_Diff &gt; 1) + (Manager="") ) &gt;0, 1, 0
 )
)</t>
  </si>
  <si>
    <t xml:space="preserve">AND(OR(WP_CAM_Diff &gt; 1,Manager="")) </t>
  </si>
  <si>
    <t>05A103a</t>
  </si>
  <si>
    <t>Does each control account have exactly one WBS element assigned?</t>
  </si>
  <si>
    <t>X = Count of CAs with more than one WBS element or no WBS elements assigned</t>
  </si>
  <si>
    <t>SUM(
 IF(
  ( (WP_WBS_Diff &gt; 1) + (CWbs="") ) &gt;0, 1, 0
 )
)</t>
  </si>
  <si>
    <t>AND(OR(WP_WBS_Diff &gt; 1,CWbs=""))</t>
  </si>
  <si>
    <t>Guideline 6</t>
  </si>
  <si>
    <t>Schedule the authorized work in a manner which describes the sequence of work and identifies significant task interdependencies required to meet the requirements of the program.</t>
  </si>
  <si>
    <t>06A101a</t>
  </si>
  <si>
    <t>Does each discrete WP, PP, SLPP have task(s) represented in the IMS and EV Cost Tool?</t>
  </si>
  <si>
    <t>X = Count of incomplete discrete WPs, PPs, SLPPs in the EV Cost Tool that are not in the IMS and count of incomplete discrete WPs, PPs, SLPPs in the IMS that are not in the EV Cost Tool</t>
  </si>
  <si>
    <t>Y = Total count of all incomplete discrete WPs, PPs, SLPPs in the EV Cost Tool</t>
  </si>
  <si>
    <t>WP
(Exists at both WP &amp; CA level)</t>
  </si>
  <si>
    <t>Consider the system description for what EVTs are Discrete</t>
  </si>
  <si>
    <t>Filters:
WP_Not_Complete = 1
WP_Is_Discrete = 1
sum(
 If(ActivityCount=0, 1, 0)
)</t>
  </si>
  <si>
    <t>Filters:
WP_Not_Complete = 1
WP_Is_Discrete = 1
Automatic</t>
  </si>
  <si>
    <t>Filters:
WP_Not_Complete = 1
WP_Is_Discrete = 1
AND(ActivityCount=0)</t>
  </si>
  <si>
    <t>-</t>
  </si>
  <si>
    <t xml:space="preserve">sum(
 If(WP_Count=0, 1, 0)
)
</t>
  </si>
  <si>
    <t xml:space="preserve">AND(WP_Count=0)
</t>
  </si>
  <si>
    <t xml:space="preserve"> - </t>
  </si>
  <si>
    <t>CA
(Exists at both WP &amp; CA level)</t>
  </si>
  <si>
    <t>need to setup filter to identify SLPPs</t>
  </si>
  <si>
    <t>Filters:
CA_Not_Complete = 1
sum(
 If(ActivityCount=0, 1, 0)
)</t>
  </si>
  <si>
    <t>Filters:
CA_Not_Complete = 1
AND(ActivityCount=0)</t>
  </si>
  <si>
    <t>06A102a</t>
  </si>
  <si>
    <t>Are authorized risk mitigation activities incorporated into the IMS as required by the process instructions?</t>
  </si>
  <si>
    <t>X = Count of risk mitigation activities not in the IMS</t>
  </si>
  <si>
    <t>Y = Total count of risk mitigation activities</t>
  </si>
  <si>
    <r>
      <t xml:space="preserve">X/Y </t>
    </r>
    <r>
      <rPr>
        <sz val="12"/>
        <rFont val="Calibri"/>
        <family val="2"/>
      </rPr>
      <t>≤</t>
    </r>
    <r>
      <rPr>
        <sz val="12"/>
        <rFont val="Calibri"/>
        <family val="2"/>
        <scheme val="minor"/>
      </rPr>
      <t xml:space="preserve"> 10%</t>
    </r>
  </si>
  <si>
    <t>_06A102a_X</t>
  </si>
  <si>
    <t>IF(_06A102a_Y &lt; 0, -0.01,
 if(_06A102a_Y&gt;0,(_06A102a_X / _06A102a_Y),-0.01)
)</t>
  </si>
  <si>
    <t>06A204b</t>
  </si>
  <si>
    <t>Are there open starts or finishes (“dangling logic”) in the schedule?</t>
  </si>
  <si>
    <t>X = Count of incomplete Non-LOE tasks/activities &amp; milestones with open starts or finishes</t>
  </si>
  <si>
    <t>Y = Total count of incomplete Non-LOE tasks/activities &amp; milestones</t>
  </si>
  <si>
    <t>Split milestones from activities as tests are different</t>
  </si>
  <si>
    <t>Filters: 
IsLevelOfEffort = False
Description &lt;&gt; ProjectStart (a variable that users can set to exclude start activity)
Description &lt;&gt; ProjectFinish (a variable that users can set to exclude end activity)
SUM(
 IF( ActivityType="Milestone", 
  IF(( ((NumberOfPredecessors + NumberofExternalPredecessors=0) * (Start&gt;=_PeriodStart))
     + ((NumberOfSuccessors + NumberofExternalSuccessors=0) * (Finish&lt;=_PeriodFinish))
    &gt;0) , 1, 0)
  ,
  IF(( ((NumberOfFSPredecessors + NumberOfSSPredecessors + NumberofExternalPredecessors=0) * (Start&gt;=_PeriodStart))
     + ((NumberOfFSSuccessors + NumberOfFFSuccessors + NumberofExternalSuccessors=0) * (Finish&lt;=_PeriodFinish))
    &gt;0) , 1, 0)
 )
)</t>
  </si>
  <si>
    <t>Filters: 
IsLevelOfEffort = False
Description &lt;&gt; ProjectStart (a variable that users can set to exclude start activity)
Description &lt;&gt; ProjectFinish (a variable that users can set to exclude end activity)
Automatic</t>
  </si>
  <si>
    <t xml:space="preserve">Filters: 
IsLevelOfEffort = False
Description &lt;&gt; ProjectStart (a variable that users can set to exclude start activity)
Description &lt;&gt; ProjectFinish (a variable that users can set to exclude end activity)
OR(
AND( (ActivityType="Milestone"), ((NumberOfPredecessors + NumberofExternalPredecessors)=0) ,(Start&gt;=_PeriodStart))
,
AND( (ActivityType="Milestone"), ((NumberOfSuccessors + NumberofExternalSuccessors)=0) ,(Finish&lt;=_PeriodFinish))
,
AND( (ActivityType="Normal"), ((NumberOfFSPredecessors+NumberOfSSPredecessors+NumberofExternalPredecessors)=0) ,(Start&gt;=_PeriodStart))
,
AND( (ActivityType="Normal"), ((NumberOfFSSuccessors+NumberOfFFSuccessors+NumberofExternalSuccessors)=0) ,(Finish&lt;=_PeriodFinish))
)  </t>
  </si>
  <si>
    <t>06A205a</t>
  </si>
  <si>
    <t xml:space="preserve">Are lags utilized in the schedule?  </t>
  </si>
  <si>
    <t>X = Count of incomplete tasks/activities &amp; milestones with at least one lag in the predecessor logic in the IMS</t>
  </si>
  <si>
    <t>Y = Total count of incomplete tasks/activities &amp; milestones in the IMS</t>
  </si>
  <si>
    <t>X/Y ≤ 10%</t>
  </si>
  <si>
    <t>SUM(
 IF(NumberofLags&gt; 0, 1, 0)
)</t>
  </si>
  <si>
    <t xml:space="preserve">
AND(NumberofLags&gt; 0)</t>
  </si>
  <si>
    <t>06A208a</t>
  </si>
  <si>
    <t>Do summary tasks/activities in the schedule have logic applied?</t>
  </si>
  <si>
    <t>X = Count of summary tasks/activities with logic applied (# predecessors &gt; 0 or # successors &gt; 0)</t>
  </si>
  <si>
    <t>removed secondary formula</t>
  </si>
  <si>
    <t>SUM(IF(
  ( ((NumberOfPredecessors&gt;0)*(Start&gt;=_PeriodStart))
 + ((NumberOfSuccessors&gt;0)*(Finish&lt;=_PeriodFinish)) )&gt;0
 , 1
 ,0)
)</t>
  </si>
  <si>
    <t>OR(
 AND(NumberOfPredecessors&gt;0,Start&gt;=_PeriodStart),
 AND(NumberOfSuccessors&gt;0,Finish&lt;=_PeriodFinish)
)</t>
  </si>
  <si>
    <t>06A209a</t>
  </si>
  <si>
    <t>Are schedule network constraints limited?</t>
  </si>
  <si>
    <t>X = Count of incomplete tasks/activities &amp; milestones with hard constraints</t>
  </si>
  <si>
    <t>Y = Total count of incomplete tasks/activities &amp; milestones</t>
  </si>
  <si>
    <t>OPP and P6</t>
  </si>
  <si>
    <t>For OPP and P6:
SUM(IF(
 ( (ActivityConstraint="MandatoryStart")+(ActivityConstraint="MandatoryFinish") ) &gt;0
 , 1
 , 0)
)</t>
  </si>
  <si>
    <t>OR(
  (ActivityConstraint="MandatoryStart")
 ,(ActivityConstraint="MandatoryFinish")
)</t>
  </si>
  <si>
    <t>MSP</t>
  </si>
  <si>
    <t>For MSP:
SUM( (
  (ActivityConstraint="MustStartOn")
  +(ActivityConstraint="MustFinishOn")
  +(ActivityConstraint="StartOnOrBefore")
  +(ActivityConstraint="FinishOnOrBefore")
  +(ActivityConstraint="StartAndFinish")
 &gt;0)
* 1)</t>
  </si>
  <si>
    <t xml:space="preserve">OR(
   (ActivityConstraint="MustStartOn")
  ,(ActivityConstraint="MustFinishOn")
  ,(ActivityConstraint="StartOnOrBefore")
  ,(ActivityConstraint="FinishOnOrBefore")
  ,(ActivityConstraint="StartAndFinish")
)
   </t>
  </si>
  <si>
    <t>06A210a</t>
  </si>
  <si>
    <t>Do LOE activities have discrete successors?</t>
  </si>
  <si>
    <t>X = Count of incomplete LOE tasks/activities in the IMS with at least one Non-LOE successor</t>
  </si>
  <si>
    <t>Y = Total count of incomplete LOE tasks/activities in the IMS</t>
  </si>
  <si>
    <t>Inclusions - Level of Effort and Normal Activity Types
Filter: IsLevelOfEffort = True
SUM(
 (NumberOfDiscreteSuccessors&gt;0)*1
)</t>
  </si>
  <si>
    <t>Inclusions - Level of Effort and Normal Activity Types
Filter: IsLevelOfEffort = True
Automatic</t>
  </si>
  <si>
    <t>Inclusions - Level of Effort and Normal Activity Types
Filter: IsLevelOfEffort = True
AND(
 (NumberOfDiscreteSuccessors&gt;0)
)</t>
  </si>
  <si>
    <t>06A211a</t>
  </si>
  <si>
    <t>Updated text that did not affect formula</t>
  </si>
  <si>
    <t>Is high total float rationale/justification acceptable?</t>
  </si>
  <si>
    <t xml:space="preserve">X = Count of high total float non-LOE tasks/activities &amp; milestones sampled with inadequate rationale </t>
  </si>
  <si>
    <t>Y = Total count of high total float non-LOE tasks/activities &amp; milestones sampled</t>
  </si>
  <si>
    <t>X/Y ≤ 20%</t>
  </si>
  <si>
    <t>_06A211a_X</t>
  </si>
  <si>
    <t>IF(_06A211a_X &lt; 0, -1,
 IF(_06A211a_Y&gt;0, _06A211a_X/_06A211a_Y, -0.01)
)</t>
  </si>
  <si>
    <t>06A212a</t>
  </si>
  <si>
    <t>Are there out of sequence tasks/activities &amp; milestones?</t>
  </si>
  <si>
    <t>X = Count of out of sequence conditions</t>
  </si>
  <si>
    <t>SUM(IF(
 IsDCMAOutOfSequence= true
 , 1
 , 0)
)</t>
  </si>
  <si>
    <t>AND(
 IsDCMAOutOfSequence= True
)</t>
  </si>
  <si>
    <t>06A301a</t>
  </si>
  <si>
    <t>Are lower level baseline and forecast dates traceable to the corresponding higher level dates in the IMS?</t>
  </si>
  <si>
    <t>X = Count of sampled incomplete lower level schedule tasks/activities &amp; milestones that are not traceable to the corresponding IMS baseline and forecast start or finish dates</t>
  </si>
  <si>
    <t>Y = Total count of sampled incomplete lower level schedule tasks/activities &amp; milestones</t>
  </si>
  <si>
    <t>_06A301a_X</t>
  </si>
  <si>
    <t>IF(_06A301a_Y &lt; 0, -0.01,
 IF(_06A301a_Y&gt;0, _06A301a_X/_06A301a_Y, 0)
)</t>
  </si>
  <si>
    <t>06A301b</t>
  </si>
  <si>
    <t>Does the IMS baseline finish date align with contractual/CLIN finish (POP) date?</t>
  </si>
  <si>
    <t>X = Count of IMS baseline finish dates not in alignment with contractual dates</t>
  </si>
  <si>
    <t>IF(_06A301b_X &lt; 0, -1, _06A301b_X)</t>
  </si>
  <si>
    <t>06A401a</t>
  </si>
  <si>
    <t>Does the schedule tool produce a critical path that represents the longest total duration with the least amount of total float?</t>
  </si>
  <si>
    <t>X = Count of tasks/activities &amp; milestones on the constraint method critical path that are not on the contractor’s critical path</t>
  </si>
  <si>
    <t>IF(_06A401a_X &lt; 0, -1, _06A401a_X)</t>
  </si>
  <si>
    <t>06A401b</t>
  </si>
  <si>
    <t>Are key contractual milestones and events identified in the IMS?</t>
  </si>
  <si>
    <t>X = Count of sampled key contractual milestones and events that are not in the IMS</t>
  </si>
  <si>
    <t>Y = Total count of sampled key contractual milestones and events</t>
  </si>
  <si>
    <t>_06A401b_X</t>
  </si>
  <si>
    <t>IF(_06A401b_Y &lt; 0, -0.01,
 IF(_06A401b_Y&gt;0, _06A401b_X/_06A401b_Y, 0)
)</t>
  </si>
  <si>
    <t>06A501a</t>
  </si>
  <si>
    <t>In the IMS, do all of the tasks/activities &amp; milestones have baseline start and baseline finish dates?</t>
  </si>
  <si>
    <t>X = Count of tasks/activities &amp; milestones without baseline dates</t>
  </si>
  <si>
    <t>Y = Total count of tasks/activities &amp; milestones</t>
  </si>
  <si>
    <r>
      <t xml:space="preserve">X/Y </t>
    </r>
    <r>
      <rPr>
        <sz val="12"/>
        <rFont val="Calibri"/>
        <family val="2"/>
      </rPr>
      <t>≤</t>
    </r>
    <r>
      <rPr>
        <sz val="12"/>
        <rFont val="Calibri"/>
        <family val="2"/>
        <scheme val="minor"/>
      </rPr>
      <t xml:space="preserve"> 5%</t>
    </r>
  </si>
  <si>
    <t>SUM(IF(
 ( ((BaselineStart="")*(Start&gt;=_PeriodStart)) + ((BaselineFinish="")*(Finish&gt;=_PeriodFinish)) 
 &gt; 0)
 , 1, 0)
)</t>
  </si>
  <si>
    <t>OR(
 AND(BaselineStart="",Start&gt;=_PeriodStart)
 ,
 AND(BaselineFinish="",Finish&gt;=_PeriodFinish)
)</t>
  </si>
  <si>
    <t>06A504a</t>
  </si>
  <si>
    <t>Are actual start dates changed after first reported?</t>
  </si>
  <si>
    <t>X = Count of tasks/activities &amp; milestones where actual start date does not equal previously reported actual start date</t>
  </si>
  <si>
    <t>Y = Total count of tasks/activities &amp; milestones with actual start dates</t>
  </si>
  <si>
    <t>Filter: Previous Actual Start &lt;&gt; ""
SUM(
 IF(INT(PreviousActualStart) &lt;&gt; INT(ActualStart), 1, 0)
)</t>
  </si>
  <si>
    <t>Filter: Previous Actual Start &lt;&gt; ""
Automatic</t>
  </si>
  <si>
    <t>Filter: Previous Actual Start &lt;&gt; 
AND(INT(PreviousActualStart) &lt;&gt; INT(ActualStart))</t>
  </si>
  <si>
    <t>06A504b</t>
  </si>
  <si>
    <t>Are actual finish dates changed after first reported?</t>
  </si>
  <si>
    <t>X = Count of tasks/activities &amp; milestones where actual finish date does not equal previously reported actual finish date</t>
  </si>
  <si>
    <t>Y = Total count of tasks/activities &amp; milestones with actual finish dates</t>
  </si>
  <si>
    <t>Filter: Previous Actual Finish  &lt;&gt; ""
SUM(
 IF(INT(PreviousActualFinish) &lt;&gt; INT(ActualFinish), 1, 0)
)</t>
  </si>
  <si>
    <t>Filter: Previous Actual Finish  &lt;&gt; ""
Automatic</t>
  </si>
  <si>
    <t>Filter: Previous Actual Finish  &lt;&gt; 
AND(INT(PreviousActualFinish) &lt;&gt; INT(ActualFinish))</t>
  </si>
  <si>
    <t>06A505a</t>
  </si>
  <si>
    <t xml:space="preserve">Do all in progress tasks/activities &amp; milestones have actual start dates? </t>
  </si>
  <si>
    <t>X = Count of in progress tasks/activities &amp; milestones with no actual start date</t>
  </si>
  <si>
    <t>Y = Total count of in progress tasks/activities &amp; milestones</t>
  </si>
  <si>
    <t>Filter: Physical % Complete &gt; 0 and Physical % Complete &lt; 1
SUM(
 (ActualStart="")*(Start&gt;=_PeriodStart)
)</t>
  </si>
  <si>
    <t>Filter: Physical % Complete &gt; 0 and Physical % Complete &lt; 1
Automatic</t>
  </si>
  <si>
    <t>Filter: Physical % Complete &gt; 0 and Physical % Complete &lt; 1
AND(
 (ActualStart="")*(Start&gt;=_PeriodStart)
)</t>
  </si>
  <si>
    <t>06A505b</t>
  </si>
  <si>
    <t>Do all complete tasks/activities &amp; milestones have actual finish dates?</t>
  </si>
  <si>
    <t xml:space="preserve">X = Count of complete tasks/activities &amp; milestones with no actual finish date </t>
  </si>
  <si>
    <t>Y = Total count of complete tasks/activities &amp; milestones</t>
  </si>
  <si>
    <t>Filter: Physical % Complete = 1
SUM(
 IF(ActualFinish="",1,0)
)</t>
  </si>
  <si>
    <t>Filter: Physical % Complete = 1
Automatic</t>
  </si>
  <si>
    <t>Filter: Physical % Complete = 1
AND(
 (ActualFinish="")
)</t>
  </si>
  <si>
    <t>06A506a</t>
  </si>
  <si>
    <t>Are actual start and actual finish dates valid for all tasks/activities &amp; milestones in the IMS?</t>
  </si>
  <si>
    <t xml:space="preserve">X = Count of tasks/activities &amp; milestones with either actual start or actual finish after status date </t>
  </si>
  <si>
    <t>X/Y ≤ 5%</t>
  </si>
  <si>
    <t>SUM(IF(
 ( (INT(ActualStart)&gt;INT(ProjectTimeNow)) + (INT(ActualFinish)&gt;INT(ProjectTimeNow)) ) &gt;0
 , 1, 0)
)</t>
  </si>
  <si>
    <t>OR(
 (INT(ActualStart)&gt;INT(ProjectTimeNow))
 ,
 (INT(ActualFinish)&gt;INT(ProjectTimeNow))
)</t>
  </si>
  <si>
    <t>06A506b</t>
  </si>
  <si>
    <t>Are forecast start and finish dates valid for all tasks/activities &amp; milestones in the IMS?</t>
  </si>
  <si>
    <t>X = Count of incomplete tasks/activities &amp; milestones with either forecast start or forecast finish before status date</t>
  </si>
  <si>
    <t>SUM(
 IF(
   (NOT(ISNUMBER(ActualStart)) * (INT(EarlyStart)&lt;INT(ProjectTimeNow)))
 + (NOT(ISNUMBER(ActualFinish)) * (INT(EarlyFinish)&lt;INT(ProjectTimeNow))) &gt;0
 , 1, 0)
)</t>
  </si>
  <si>
    <t>OR(
 (NOT(ISNUMBER(ActualStart)) * (INT(EarlyStart)&lt;INT(ProjectTimeNow)))
 ,
 (NOT(ISNUMBER(ActualFinish)) * (INT(EarlyFinish)&lt;INT(ProjectTimeNow)))
)</t>
  </si>
  <si>
    <t>X = Count of incomplete tasks/activities &amp; milestones with either forecast start or forecast finish on or before the status date</t>
  </si>
  <si>
    <t>new for DCMA change that treats forecast dates on TimeNow as invalid forecast dates</t>
  </si>
  <si>
    <t>SUM(
 IF(
   (NOT(ISNUMBER(ActualStart))  * (INT(EarlyStart)&lt;=INT(ProjectTimeNow)))
 + (NOT(ISNUMBER(ActualFinish)) * (INT(EarlyFinish)&lt;=INT(ProjectTimeNow))) &gt;0
 , 1, 0)
)</t>
  </si>
  <si>
    <t>OR(
 (NOT(ISNUMBER(ActualStart))  * (INT(EarlyStart)&lt;=INT(ProjectTimeNow)))
 ,
 (NOT(ISNUMBER(ActualFinish)) * (INT(EarlyFinish)&lt;=INT(ProjectTimeNow)))
)</t>
  </si>
  <si>
    <t>06A506c</t>
  </si>
  <si>
    <t>Are forecast start/finish dates riding the status date of the IMS for two consecutive months?</t>
  </si>
  <si>
    <t xml:space="preserve">X = Count of incomplete tasks/activities &amp; milestones with either forecast start or forecast finish date riding the status date </t>
  </si>
  <si>
    <t>X/Y ≤ 1%</t>
  </si>
  <si>
    <t>Filters:
Project Previous Time Now &lt;&gt; (blank)
SUM(if(
   ( (ActualStart="")         * (ABS(EarlyStart-ProjectTimeNow)&lt;6) ) *
   ( (PreviousActualStart="") * (ABS(PreviousStart - ProjectPreviousTimeNow)&lt;6) )
  +
   ( (ActualFinish="") * ISNUMBER(ActualStart) * (ActualStart &lt; ProjectPreviousTimeNow) *
   ( (ISNUMBER(PreviousActualStart)) * (ABS(PreviousRemainingDuration - RemainingDuration)
 &lt;= 2) )
   ) &gt;0
   , 1,0)
)</t>
  </si>
  <si>
    <t>Filters:
Project Previous Time Now &lt;&gt; (blank)
Automatic</t>
  </si>
  <si>
    <t>Filters:
Project Previous Time Now &lt;&gt; (blank)
OR(
  ( (ActualStart="") * (ABS(EarlyStart-ProjectTimeNow)&lt;4)
   * (ABS(PreviousStart - ProjectPreviousTimeNow)&lt;4) * (PreviousActualStart="") )
  ,
  ( (ActualFinish="") * ISNUMBER(ActualStart) * (ActualStart &lt; ProjectPreviousTimeNow)
   * (ISNUMBER(PreviousActualStart)) * (ABS(PreviousRemainingDuration - RemainingDuration) &lt;= 2) )
)</t>
  </si>
  <si>
    <t>Filters:
Project Previous Time Now &lt;&gt; (blank)
SUM(if(
   ( (ActualStart="")         * (ABS(EarlyStart-ProjectTimeNow)&lt;6) ) *
   ( (PreviousActualStart="") * (ABS(PreviousStart - ProjectPreviousTimeNow)&lt;6) *(EarlyStart&gt;ProjectTimeNow) )
  +
   ( (ActualFinish="") * ISNUMBER(ActualStart) * (ActualStart &lt; ProjectPreviousTimeNow) *
   ( (ISNUMBER(PreviousActualStart)) * (ABS(PreviousRemainingDuration - RemainingDuration) &lt;= 2) * (EarlyFinish&gt;ProjectTimeNow) )
   ) &gt;0
   , 1,0)
)</t>
  </si>
  <si>
    <t>Filters:
Project Previous Time Now &lt;&gt; (blank)
OR(
AND((ActualStart=""), (ABS(EarlyStart-ProjectTimeNow)&lt;6), (ABS(PreviousStart - ProjectPreviousTimeNow)&lt;6), (PreviousActualStart=""), (EarlyStart&gt;ProjectTimeNow))
,
AND((ActualFinish=""), ISNUMBER(ActualStart), (ISNUMBER(PreviousActualStart)), (ActualStart &lt;= ProjectPreviousTimeNow)
  , (ABS(PreviousRemainingDuration - RemainingDuration) &lt;= 2), (EarlyFinish&gt;ProjectTimeNow))
)</t>
  </si>
  <si>
    <t>06I101b</t>
  </si>
  <si>
    <t>Do schedule margin tasks/activities represent risk impact to subsequent significant events/milestones?</t>
  </si>
  <si>
    <t>X = Count of schedule margin tasks/activities that do not represent risk impact to subsequent events/milestone</t>
  </si>
  <si>
    <t>Act</t>
  </si>
  <si>
    <t>IF(_06I101b_X &lt; 0, -1, _06I101b_X)</t>
  </si>
  <si>
    <t>06I201a</t>
  </si>
  <si>
    <t>Are Schedule Visibility Tasks (SVTs) identified and controlled in the IMS?</t>
  </si>
  <si>
    <t>X = Count of incomplete tasks/activities and millstones that are not properly identified and controlled as SVTs in the IMS</t>
  </si>
  <si>
    <t>IF(_06I201a_X &lt; 0, -1, _06I201a_X)</t>
  </si>
  <si>
    <t>Guideline 7</t>
  </si>
  <si>
    <t>Identify physical products, milestones, technical performance goals, or other indicators that will be used to measure progress.</t>
  </si>
  <si>
    <t>07A102b</t>
  </si>
  <si>
    <t xml:space="preserve">Is the IMP traceable to the IMS? </t>
  </si>
  <si>
    <t>X = Count of IMP criteria that are not represented in the IMS</t>
  </si>
  <si>
    <t>Y = Total count of IMP criteria</t>
  </si>
  <si>
    <t>_07A102b_X</t>
  </si>
  <si>
    <t>IF(_07A102b_Y &lt; 0, -0.01,
 IF(_07A102b_Y&gt;0, _07A102b_X/_07A102b_Y, 0)
)</t>
  </si>
  <si>
    <t>Guideline 8</t>
  </si>
  <si>
    <t>Establish and maintain a time-phased budget baseline, at the control account level, against which program performance can be measured. Initial budgets established for performance measurement will be based on either internal management goals or the external customer negotiated target cost including estimates for authorized but undefinitized work. Budget for far-term efforts may be held in higher level accounts until an appropriate time for allocation at the control account level. On government contracts, if an over-target baseline is used for performance measurement reporting purposes, prior notification must be provided to the customer.</t>
  </si>
  <si>
    <t>08A101a</t>
  </si>
  <si>
    <t xml:space="preserve">Is the time-phased PMB in alignment with the IMS?     </t>
  </si>
  <si>
    <t>X = Count of sampled incomplete WPs/PPs/SLPPs in the EV Cost Tool where the time-phased budget baseline does not align with the IMS</t>
  </si>
  <si>
    <t xml:space="preserve">Y = Total count of sampled incomplete WPs/PPs/SLPPs in the EV Cost Tool </t>
  </si>
  <si>
    <t>DCMA Manual test that IS automated in Acumen
Added new calculated field to filter LOE and Discrete according to new assumption</t>
  </si>
  <si>
    <t>Filters:
WP_Not_Complete_Discrete_LOE = 1
ActivityCount &gt; 0
SUM(IF(
  ((FISCALPERIODNUM(ActMinBStart,Project) &lt;&gt; FISCALPERIODNUM(WP_TP_Bcws_Start,Project))
 +
  (FISCALPERIODNUM(ActMaxBFinish,Project) &lt;&gt; FISCALPERIODNUM(WP_TP_Bcws_Finish,Project))
 ) &gt; 0
 ,1 ,0)
)</t>
  </si>
  <si>
    <t>Filters:
WP_Not_Complete_Discrete_LOE = 1
ActivityCount &gt; 0
Automatic</t>
  </si>
  <si>
    <t>Filters:
WP_Not_Complete_Discrete_LOE = 1
ActivityCount &gt; 0
OR(
 (FISCALPERIODNUM(ActMinBStart, Project) &lt;&gt; FISCALPERIODNUM(WP_TP_Bcws_Start,Project))
 ,
 (FISCALPERIODNUM(ActMaxBFinish, Project) &lt;&gt; FISCALPERIODNUM(WP_TP_Bcws_Finish,Project))
)</t>
  </si>
  <si>
    <t xml:space="preserve">OR(
 (FISCALPERIODNUM(WP_TP_Bcws_Start,Project)  &lt;&gt; FISCALPERIODNUM(BaselineStart,Project)) ,
 (FISCALPERIODNUM(WP_TP_Bcws_Finish,Project) &lt;&gt; FISCALPERIODNUM(BaselineFinish,Project))
)
</t>
  </si>
  <si>
    <t>WP
Manual option
(Exists at both WP &amp; CA level)</t>
  </si>
  <si>
    <t>Manual option for those without time phased data</t>
  </si>
  <si>
    <t>_08A101a_X</t>
  </si>
  <si>
    <t>IF(_08A101a_Y &lt; 0, -0.01, 
 if((_08A101a_Y &gt; 0),(_08A101a_X / _08A101a_Y),0)
)</t>
  </si>
  <si>
    <t>DCMA Manual test that IS automated in Acumen
no changes as SLPPs are not LOE</t>
  </si>
  <si>
    <t xml:space="preserve">Filters:
CA_Not_Complete = 1
ActivityCount &gt; 0
SUM(IF(
 ((FISCALPERIODNUM(ActMinBStart,Project)  &lt;&gt; FISCALPERIODNUM(CA_TP_Bcws_Start,Project))
 +
 (FISCALPERIODNUM(ActMaxBFinish,Project) &lt;&gt; FISCALPERIODNUM(CA_TP_Bcws_Finish,Project))
 ) &gt; 0
 ,1 ,0)
)
</t>
  </si>
  <si>
    <t>Filters:
CA_Not_Complete = 1
ActivityCount &gt; 0
Automatic</t>
  </si>
  <si>
    <t xml:space="preserve">Filters:
CA_Not_Complete = 1
ActivityCount &gt; 0
OR(
 (FISCALPERIODNUM(ActMinBStart, Project) &lt;&gt; FISCALPERIODNUM(CA_TP_Bcws_Start,Project))
 ,
 (FISCALPERIODNUM(ActMaxBFinish, Project) &lt;&gt; FISCALPERIODNUM(CA_TP_Bcws_Finish,Project))
)
</t>
  </si>
  <si>
    <t>OR(
 (FISCALPERIODNUM(CA_TP_Bcws_Start,Project)  &lt;&gt; FISCALPERIODNUM(BaselineStart,Project)) ,
 (FISCALPERIODNUM(CA_TP_Bcws_Finish,Project) &lt;&gt; FISCALPERIODNUM(BaselineFinish,Project))
)</t>
  </si>
  <si>
    <t>08A201a</t>
  </si>
  <si>
    <t>Was customer authorization received before reporting an OTB in Cost Performance Report (CPR)/Integrated Program Management Review (IPMR)?</t>
  </si>
  <si>
    <t>X= Occurrences where customer authorization was not received prior to reporting an OTB on IPMR/CPR</t>
  </si>
  <si>
    <t>IF(_08A201a_X &lt; 0, -1, _08A201a_X)</t>
  </si>
  <si>
    <t>08I101a</t>
  </si>
  <si>
    <t>Do all SLPPs have duration?</t>
  </si>
  <si>
    <t>X = Count of SLPPs with baseline duration less than or equal to one day</t>
  </si>
  <si>
    <t>Y = Total count of SLPPs</t>
  </si>
  <si>
    <t>SUM(IF(
 (ActMaxBFinish - ActMinBStart) &lt;= 1
 , 1
 ,0)
)</t>
  </si>
  <si>
    <t>AND((ActMaxBFinish - ActMinBStart) &lt;= 1 )</t>
  </si>
  <si>
    <t>08I102a</t>
  </si>
  <si>
    <t xml:space="preserve">Have SLPPs incurred actual costs?  </t>
  </si>
  <si>
    <t>X = Count of SLPPs with ACWPCUM</t>
  </si>
  <si>
    <t>X/Y ≤ 2%</t>
  </si>
  <si>
    <t>SUM(IF(
 AcwpCumulative &lt;&gt; 0
 , 1
 ,0)
)</t>
  </si>
  <si>
    <t>AND(AcwpCumulative &lt;&gt; 0)</t>
  </si>
  <si>
    <t>08I103a</t>
  </si>
  <si>
    <t xml:space="preserve">Have SLPPs earned performance?  </t>
  </si>
  <si>
    <t>X = Count of SLPPs with BCWPCUM</t>
  </si>
  <si>
    <t>SUM(IF(
 BcwpCumulative &lt;&gt; 0
 , 1
 ,0)
)</t>
  </si>
  <si>
    <t>AND(BcwpCumulative &lt;&gt; 0)</t>
  </si>
  <si>
    <t>Guideline 9</t>
  </si>
  <si>
    <t>Establish budgets for authorized work with identification of significant cost elements (labor, material, etc.) as needed for internal management and for control of subcontractors.</t>
  </si>
  <si>
    <t>09A101a</t>
  </si>
  <si>
    <t xml:space="preserve">Is authorization date prior to budgeted baseline start? </t>
  </si>
  <si>
    <t>X = Count of sampled incomplete CAs where the EV Cost Tool baseline start date precedes the WAD authorization date (signature)</t>
  </si>
  <si>
    <t>Y = Total count of sampled incomplete CAs from the EV Cost Tool</t>
  </si>
  <si>
    <t>Filter: CA_Not_Complete = 1
SUM(IF(ISNUMBER(WAD_IssueDate),
 IF(FISCALPERIODNUM(TimePhaseBcwsStart,Project) &lt; FISCALPERIODNUM(WAD_IssueDate,Project),1,0)
 , 1)
)</t>
  </si>
  <si>
    <t>Filter: CA_Not_Complete = 1
Automatic</t>
  </si>
  <si>
    <t>Filter: CA_Not_Complete = 1
AND(
 OR(
  (NOT(ISNUMBER(WAD_IssueDate)))
  ,
  (FISCALPERIODNUM(TimePhaseBcwsStart,Project) &lt; FISCALPERIODNUM(WAD_IssueDate,Project))
))</t>
  </si>
  <si>
    <t>09A102a</t>
  </si>
  <si>
    <t>Is work authorization date prior to the incurrence of actual costs?</t>
  </si>
  <si>
    <t xml:space="preserve">X = Count of sampled incomplete CAs where ACWP incurred before the work authorization date </t>
  </si>
  <si>
    <t>Y = Total count of sampled incomplete CAs that have incurred actual costs</t>
  </si>
  <si>
    <t>Filter: AcwpCumulative &gt; 0
CA_Not_Complete = 1
SUM(IF(ISNUMBER(WAD_IssueDate),
 IF((FISCALPERIODNUM(TimePhaseAcwpStart,Project) &lt; FISCALPERIODNUM(WAD_IssueDate,Project)),1,0)
 ,
 1
))</t>
  </si>
  <si>
    <t>Filter: AcwpCumulative &gt; 0
CA_Not_Complete = 1 
Automatic</t>
  </si>
  <si>
    <t>Filter: AcwpCumulative &gt; 0
CA_Not_Complete = 1
AND(
 OR(
  NOT(ISNUMBER(WAD_IssueDate))
  ,
  (FISCALPERIODNUM(TimePhaseAcwpStart,Project) &lt; FISCALPERIODNUM(WAD_IssueDate,Project))
))</t>
  </si>
  <si>
    <t>09A103a</t>
  </si>
  <si>
    <t>Are elements of cost defined/identified for each control account?</t>
  </si>
  <si>
    <t>X = Sum of BAC for incomplete CAs with budgets that cannot be segregated by element of cost</t>
  </si>
  <si>
    <t>Y = Total BAC of incomplete Cas</t>
  </si>
  <si>
    <t>If the element of cost segregation is at a lower level than CA then perform the test at lowest level</t>
  </si>
  <si>
    <t>Filters: CA_Not_Complete = 1
SUM(
 IF(Round(Bac, WP_RL) &lt;&gt; Round(WP_SUM_BAC_EOC, WP_RL), Bac, 0)
)</t>
  </si>
  <si>
    <t>Filters: CA_Not_Complete = 1
SUM(IF(Round(Bac, WP_RL) &lt;&gt; Round(WP_SUM_BAC_EOC, WP_RL), Bac, 0))
 / 
SUM(Bac)</t>
  </si>
  <si>
    <t>Filters: CA_Not_Complete = 1
AND(Round(Bac, WP_RL) &lt;&gt; Round(WP_SUM_BAC_EOC, WP_RL))</t>
  </si>
  <si>
    <t>Filters: WP_Not_Complete = 1
SUM(IF(
  Round(Bac, WP_RL) &lt;&gt; 
  Round(EOC_Labor_Bac+EOC_Material_Bac+EOC_OtherDirectCosts_Bac+EOC_SubContractor_Bac, WP_RL)
 ,Bac ,0)
)</t>
  </si>
  <si>
    <t>Filters: WP_Not_Complete = 1
SUM(IF(
  Round(Bac, WP_RL) &lt;&gt;
  Round(EOC_Labor_Bac+EOC_Material_Bac+EOC_OtherDirectCosts_Bac+EOC_SubContractor_Bac, WP_RL)
 ,Bac ,0))
/ 
SUM(Bac)</t>
  </si>
  <si>
    <t>Filters: WP_Not_Complete = 1
AND(
 Round(Bac, WP_RL) &lt;&gt;
 Round(EOC_Labor_Bac+EOC_Material_Bac+EOC_OtherDirectCosts_Bac+EOC_SubContractor_Bac, WP_RL)
)</t>
  </si>
  <si>
    <t>Guideline 10</t>
  </si>
  <si>
    <t>To the extent it is practicable to identify the authorized work in discrete work packages, establish budgets for this work in terms of dollars, hours, or other measurable units. Where the entire control account is not subdivided into work packages, identify the far term effort in larger planning packages for budget and scheduling purposes.</t>
  </si>
  <si>
    <t>10A102a</t>
  </si>
  <si>
    <t>Is each Work Package assigned a single EVT?</t>
  </si>
  <si>
    <t xml:space="preserve">X = Count of incomplete WPs that have more than one EVT or no EVT assigned </t>
  </si>
  <si>
    <t>Y = Total count of incomplete WPs</t>
  </si>
  <si>
    <t>Added new calculated field to filter LOE and Discrete according to new assumption</t>
  </si>
  <si>
    <t>Filters: 
WP_Not_Complete_Discrete_LOE = 1
SUM((PerformanceMethod="None")*1)</t>
  </si>
  <si>
    <t>Filters: 
WP_Not_Complete_Discrete_LOE = 1
Automatic</t>
  </si>
  <si>
    <t>Filters: 
WP_Not_Complete_Discrete_LOE = 1
AND((PerformanceMethod="None"))</t>
  </si>
  <si>
    <t>10A103a</t>
  </si>
  <si>
    <t>Are 0-100 EVTs applied to incomplete WPs with one accounting period of budget?</t>
  </si>
  <si>
    <t>X = Count of 0-100 EVT incomplete WPs with more than one accounting period of budget</t>
  </si>
  <si>
    <t>Y = Total count of 0-100 EVT incomplete WPs</t>
  </si>
  <si>
    <t>Filters: 
WP_Not_Complete = 1
PerformanceMethod=ZeroHundred
SUM(IF(
 ((FISCALPERIODNUM(TimePhaseBcwsFinish, Project) - FISCALPERIODNUM(TimePhaseBcwsStart, Project)) &gt; 0)
 ,1,0)
)</t>
  </si>
  <si>
    <t>Filters: 
WP_Not_Complete = 1
PerformanceMethod=ZeroHundred
Automatic</t>
  </si>
  <si>
    <t xml:space="preserve">Filters: 
WP_Not_Complete = 1
PerformanceMethod=ZeroHundred
AND(
 ((FISCALPERIODNUM(TimePhaseBcwsFinish, Project) - FISCALPERIODNUM(TimePhaseBcwsStart, Project)) &gt; 0)
)
</t>
  </si>
  <si>
    <t>10A104a</t>
  </si>
  <si>
    <t>Are %Start-%Finish EVTs applied to incomplete WPs with two accounting periods of budget?</t>
  </si>
  <si>
    <t>X =Count of incomplete WPs with %Start-%Finish EVTs with more than two consecutive accounting periods of budget</t>
  </si>
  <si>
    <t>Y = Total count of incomplete WPs with %Start-%Finish EVTs</t>
  </si>
  <si>
    <t>Filters: 
WP_Not_Complete = 1
SUM(IF(
((PerformanceMethod="FiftyFifty")+(PerformanceMethod="UserDefined")&gt;0)
 *
 ((FISCALPERIODNUM(TimePhaseBcwsFinish, Project) - FISCALPERIODNUM(TimePhaseBcwsStart, Project)) &gt; 1)
 ,1,0)
)</t>
  </si>
  <si>
    <t>Filters: 
WP_Not_Complete = 1
IF( SUM(((PerformanceMethod="FiftyFifty")+(PerformanceMethod="UserDefined")&gt;0)*1) &gt; 0
 ,
 SUM(((PerformanceMethod="FiftyFifty")+(PerformanceMethod="UserDefined")&gt;0)*((FISCALPERIODNUM(TimePhaseBcwsFinish, Project) -
     FISCALPERIODNUM(TimePhaseBcwsStart, Project)) &gt; 1)*1)
 /
 SUM(((PerformanceMethod="FiftyFifty")+(PerformanceMethod="UserDefined")&gt;0)*1)
 ,
 0
)</t>
  </si>
  <si>
    <t>Filters: 
WP_Not_Complete = 1
AND(
((PerformanceMethod="FiftyFifty")+(PerformanceMethod="UserDefined")&gt;0)
 *
 ((FISCALPERIODNUM(TimePhaseBcwsFinish, Project) - FISCALPERIODNUM(TimePhaseBcwsStart, Project)) &gt; 1)
)</t>
  </si>
  <si>
    <t>10A105a</t>
  </si>
  <si>
    <t>Is BCWP claimed consistent with the WP EVT?</t>
  </si>
  <si>
    <t>X = Count of in-progress Non-LOE, non-material WPs sampled with a recorded percent complete that is not consistent with budget and EVT.</t>
  </si>
  <si>
    <t>Y = Total count of in-progress Non-LOE, non-material WPs sampled</t>
  </si>
  <si>
    <t>_10A105a_X</t>
  </si>
  <si>
    <t>IF(_10A105a_Y &lt; 0, -0.01, 
 if((_10A105a_Y &gt; 0),(_10A105a_X / _10A105a_Y),0)
)</t>
  </si>
  <si>
    <t>new automated version
uses many calculated fields</t>
  </si>
  <si>
    <t>Filters: 
WP_Is_Discrete = 1
WP_Not_Complete = 1
WP_HAS_MATERIAL = 0
SUM(IF(
 ( (WP_Valid_0_100 = 1) + (WP_Valid_100_0 = 1) + (WP_Valid_50_50 = 1) +
   (WP_Valid_Percent_Complete = 1) + (WP_Valid_User_Defined = 1) ) &gt;0
 ,1,0)
)</t>
  </si>
  <si>
    <t>Filters: 
WP_Is_Discrete = 1
WP_Not_Complete = 1
WP_HAS_MATERIAL = 0
Automatic</t>
  </si>
  <si>
    <t>Filters: 
WP_Is_Discrete = 1
WP_Not_Complete = 1
WP_HAS_MATERIAL = 0
OR(
 (WP_Valid_0_100 = 1), (WP_Valid_100_0 = 1), (WP_Valid_50_50 = 1),
 (WP_Valid_Percent_Complete = 1), (WP_Valid_User_Defined = 1)
)</t>
  </si>
  <si>
    <t>10A109b</t>
  </si>
  <si>
    <t>Does each WP/PP/SLPPs have an assigned budget?</t>
  </si>
  <si>
    <t>X = Count of WPs/PPs/SLPPs with BAC ≤ 0</t>
  </si>
  <si>
    <t>Y = Total count of WPs/PPs/SLPPs</t>
  </si>
  <si>
    <t>for WP/PP</t>
  </si>
  <si>
    <t>SUM(IF(
 ROUND(BAC, WP_RL) &lt;= 0
, 1, 0)
)</t>
  </si>
  <si>
    <t>AND(ROUND(BAC, WP_RL) &lt;= 0)</t>
  </si>
  <si>
    <t>for SLPP</t>
  </si>
  <si>
    <t>SUM(IF(
  ROUND(BAC, WP_RL) &lt;= 0
 , 1
 , 0)
)</t>
  </si>
  <si>
    <t xml:space="preserve">AND(ROUND(BAC, WP_RL) &lt;= 0)
</t>
  </si>
  <si>
    <t>10A201a</t>
  </si>
  <si>
    <t>Are EVTs for material consistent with the manner in which material is planned and performance claimed?</t>
  </si>
  <si>
    <t>X = Count of sampled in-progress material WPs with EVTs that are not consistent with the manner in which material is planned</t>
  </si>
  <si>
    <t>Y = Total count of sampled in-progress material WPs</t>
  </si>
  <si>
    <t>_10A201a_X</t>
  </si>
  <si>
    <t>IF(_10A201a_Y &lt; 0, -0.01, 
 if((_10A201a_Y &gt; 0),(_10A201a_X / _10A201a_Y),0)
)</t>
  </si>
  <si>
    <t>10A302a</t>
  </si>
  <si>
    <t xml:space="preserve">Have PPs incurred actual costs?   </t>
  </si>
  <si>
    <r>
      <t>X = Count of PPs with ACWP</t>
    </r>
    <r>
      <rPr>
        <vertAlign val="subscript"/>
        <sz val="12"/>
        <rFont val="Calibri"/>
        <family val="2"/>
        <scheme val="minor"/>
      </rPr>
      <t>CUM</t>
    </r>
  </si>
  <si>
    <t>Y = Total count of PPs</t>
  </si>
  <si>
    <r>
      <t xml:space="preserve"> X/Y </t>
    </r>
    <r>
      <rPr>
        <sz val="12"/>
        <rFont val="Calibri"/>
        <family val="2"/>
      </rPr>
      <t>≤</t>
    </r>
    <r>
      <rPr>
        <sz val="12"/>
        <rFont val="Calibri"/>
        <family val="2"/>
        <scheme val="minor"/>
      </rPr>
      <t xml:space="preserve"> 2%</t>
    </r>
  </si>
  <si>
    <t>For when actuals are collected at the CA level and the CA has only PPs</t>
  </si>
  <si>
    <t>Filters: WP_PP_Count = WP_Count
SUM(
 IF( (AcwpCumulative &gt; 0)
 , WP_PP_Count
 ,0)
)</t>
  </si>
  <si>
    <t>Filters: WP_PP_Count = WP_Count
Automatic</t>
  </si>
  <si>
    <t>Filters: WP_PP_Count = WP_Count
AND(
 (AcwpCumulative &gt; 0)
)</t>
  </si>
  <si>
    <t>10A302b</t>
  </si>
  <si>
    <t xml:space="preserve">Have PPs earned performance?   </t>
  </si>
  <si>
    <r>
      <t>X = Count of PPs with BCWP</t>
    </r>
    <r>
      <rPr>
        <vertAlign val="subscript"/>
        <sz val="12"/>
        <rFont val="Calibri"/>
        <family val="2"/>
        <scheme val="minor"/>
      </rPr>
      <t>CUM</t>
    </r>
  </si>
  <si>
    <t>10A303a</t>
  </si>
  <si>
    <t>Do all PPs have duration?</t>
  </si>
  <si>
    <t>X = Count of PPs (tasks/activities &amp; milestones level) with baseline duration less than or equal to one day</t>
  </si>
  <si>
    <t>Y = Total count of PPs (tasks/activities &amp; milestones level)</t>
  </si>
  <si>
    <t>was implemented at the WP/PP level previously</t>
  </si>
  <si>
    <t>SUM(
 IF(
  (EarnedValueTechnique = "PlanningPackage") * (BaselineDuration &lt;= 1)
  , 1
  ,0
 )
)</t>
  </si>
  <si>
    <t>IF(
 SUM(IF((EarnedValueTechnique = "PlanningPackage"), 1,0)) &gt; 0
,
 SUM(
  IF( (EarnedValueTechnique = "PlanningPackage") * (BaselineDuration &lt;= 1) , 1 ,0) )
 /
 SUM(
  IF( (EarnedValueTechnique = "PlanningPackage") , 1 ,0) )
,
0 )</t>
  </si>
  <si>
    <t>AND(
  (EarnedValueTechnique = "PlanningPackage") , (BaselineDuration &lt;= 1)
)</t>
  </si>
  <si>
    <t>Guideline 11</t>
  </si>
  <si>
    <t>Provide that the sum of all work package budgets plus planning package budgets within a control account equals the control account budget.</t>
  </si>
  <si>
    <t>11A101a</t>
  </si>
  <si>
    <t>For all CAs, does the BAC for the CA equal the sum of the WP and PP budgets within the CA?</t>
  </si>
  <si>
    <t>X = Sum of the absolute values of (CA BAC – the sum of its WP and PP budgets)</t>
  </si>
  <si>
    <t xml:space="preserve">Y = Total program BAC </t>
  </si>
  <si>
    <r>
      <t xml:space="preserve">X/Y </t>
    </r>
    <r>
      <rPr>
        <sz val="12"/>
        <rFont val="Calibri"/>
        <family val="2"/>
      </rPr>
      <t>≤</t>
    </r>
    <r>
      <rPr>
        <sz val="12"/>
        <rFont val="Calibri"/>
        <family val="2"/>
        <scheme val="minor"/>
      </rPr>
      <t xml:space="preserve"> 1%</t>
    </r>
  </si>
  <si>
    <t>SUM(
 ABS(Round(Bac, WP_RL) - Round(WP_SUM_BAC, WP_RL))
)</t>
  </si>
  <si>
    <t>SUM( ABS(Round(Bac, WP_RL) - Round(WP_SUM_BAC, WP_RL)) )
/
SUM(Bac)</t>
  </si>
  <si>
    <t>AND(
 (Round(Bac, WP_RL) &lt;&gt; Round(WP_SUM_BAC, WP_RL))
)</t>
  </si>
  <si>
    <t>Guideline 12</t>
  </si>
  <si>
    <t>Identify and control level of effort activity by time-phased budgets established for this purpose. Only that effort which is not measurable or for which measurement is impracticable may be classified as level of effort.</t>
  </si>
  <si>
    <t>12A101a</t>
  </si>
  <si>
    <t>Are the contractor’s Level of Effort (LOE) WPs supportive in nature and/or do not produce technical content leading to an end item or product?</t>
  </si>
  <si>
    <t xml:space="preserve">X = Sum of BAC of sampled incomplete LOE WPs that are not supportive in nature and/or produce technical content leading to an end item or product </t>
  </si>
  <si>
    <t>Y = Total BAC of sampled incomplete LOE WPs</t>
  </si>
  <si>
    <r>
      <t xml:space="preserve">X/Y </t>
    </r>
    <r>
      <rPr>
        <sz val="12"/>
        <rFont val="Calibri"/>
        <family val="2"/>
      </rPr>
      <t>≤</t>
    </r>
    <r>
      <rPr>
        <sz val="12"/>
        <rFont val="Calibri"/>
        <family val="2"/>
        <scheme val="minor"/>
      </rPr>
      <t xml:space="preserve"> 15%</t>
    </r>
  </si>
  <si>
    <t>_12A101a_X</t>
  </si>
  <si>
    <t>IF(_12A101a_Y &lt; 0, -0.01, 
 if((_12A101a_Y &gt; 0),(_12A101a_X / _12A101a_Y),0)
)</t>
  </si>
  <si>
    <t>12A201a</t>
  </si>
  <si>
    <t>Are LOE WPs separately evaluated from non-LOE WPs within the same control account?</t>
  </si>
  <si>
    <t>X = Count of sampled incomplete CAs requiring VARs that have LOE and non-LOE WPs where cost performance of LOE work and cost/schedule performance of non-LOE work is not separately evaluated</t>
  </si>
  <si>
    <t>Y = Total count of sampled incomplete CAs requiring VARs that have LOE and non-LOE WPs</t>
  </si>
  <si>
    <t>_12A201a_X</t>
  </si>
  <si>
    <t>if(_12A201a_Y &lt; 0, -0.01,
 if((_12A201a_Y &gt; 0),(_12A201a_X / _12A201a_Y),0)
)</t>
  </si>
  <si>
    <t>12A301a</t>
  </si>
  <si>
    <t>Does the time-phasing of LOE WP budgets properly reflect when the work will be accomplished?</t>
  </si>
  <si>
    <t xml:space="preserve">X = Count of sampled incomplete LOE WPs where budget time-phasing does not properly reflect when the work will be accomplished </t>
  </si>
  <si>
    <t>Y = Total count of sampled incomplete LOE WPs</t>
  </si>
  <si>
    <t>_12A301a_X</t>
  </si>
  <si>
    <t>IF(_12A301a_Y &lt; 0, -0.01, 
 if((_12A301a_Y &gt; 0),(_12A301a_X / _12A301a_Y),0)
)</t>
  </si>
  <si>
    <t>12A401a</t>
  </si>
  <si>
    <t>Does the contractor proactively manage Level of Effort (LOE) WPs to avoid inaccurate performance measurement?</t>
  </si>
  <si>
    <t>X = Sum of BCWPcur of incomplete LOE CAs/WPs where BCWPcur &gt; 0 and ACWPcur = 0 for the last two consecutive periods</t>
  </si>
  <si>
    <t>Y = Total BCWPcur for incomplete LOE CAs/WPs</t>
  </si>
  <si>
    <t>Use when actuals are collected at the WP level
Added new calculated field for LOE WPs to check ETC as well as BAC/BCWPcum</t>
  </si>
  <si>
    <t>Filters: 
PerformanceMethod = LevelOfEffort
WP_Not_Complete_LOE = 1
SUM(IF(
   ((Round(BcwpCurrent, WP_RL) &gt; 0) * (Round(AcwpCurrent, WP_RL) = 0))
 * ((Round(PreviousBcwpCur, WP_RL) &gt; 0) * (Round(PreviousAcwpCur, WP_RL) = 0))
 , BcwpCurrent
 , 0)
)</t>
  </si>
  <si>
    <t>Filters: 
PerformanceMethod = LevelOfEffort
WP_Not_Complete_LOE = 1
SUM(IF(
   ((Round(BcwpCurrent, WP_RL) &gt; 0) * (Round(AcwpCurrent, WP_RL) = 0))
 * ((Round(PreviousBcwpCur, WP_RL) &gt; 0) * (Round(PreviousAcwpCur, WP_RL) = 0))
 , BcwpCurrent, 0) )
/
SUM(BcwpCurrent)</t>
  </si>
  <si>
    <t>Filters: 
PerformanceMethod = LevelOfEffort
WP_Not_Complete_LOE = 1
AND(
 ((Round(BcwpCurrent, WP_RL) &gt; 0) * (Round(AcwpCurrent, WP_RL) = 0))
 ,
 ((Round(PreviousBcwpCur, WP_RL) &gt; 0) * (Round(PreviousAcwpCur, WP_RL) = 0))
)</t>
  </si>
  <si>
    <t>Use when actuals are collected at the CA level
Added new calculated field for LOE assumptions to check ETC as well as BAC/BCWPcum</t>
  </si>
  <si>
    <t>Filters: 
WP_Has_LOE &gt; 0
CA_Not_Complete_LOE=1
SUM(IF(
   ((Round(WP_LOE_BCWP_CUR, WP_RL) &gt; 0) * (Round(AcwpCurrent, WP_RL) = 0))
 * ((Round(WP_LOE_BCWP_CUR_Previous, WP_RL) &gt; 0) * (Round(PreviousAcwpCur, WP_RL) = 0))
 , BcwpCurrent
 , 0)
)</t>
  </si>
  <si>
    <t>Filters: 
WP_Has_LOE &gt; 0
CA_Not_Complete_LOE=1
SUM(IF(
   ((Round(WP_LOE_BCWP_CUR, WP_RL) &gt; 0) * (Round(AcwpCurrent, WP_RL) = 0))
 * ((Round(WP_LOE_BCWP_CUR_Previous, WP_RL) &gt; 0) * (Round(PreviousAcwpCur, WP_RL) = 0))
 , BcwpCurrent, 0) 
)
/
SUM(WP_LOE_BCWP_CUR)</t>
  </si>
  <si>
    <t>Filters: 
WP_Has_LOE &gt; 0
CA_Not_Complete_LOE=1
AND(
   ((Round(WP_LOE_BCWP_CUR, WP_RL) &gt; 0) * (Round(AcwpCurrent, WP_RL) = 0))
 * ((Round(WP_LOE_BCWP_CUR_Previous, WP_RL) &gt; 0) * (Round(PreviousAcwpCur, WP_RL) = 0))
)</t>
  </si>
  <si>
    <t>12I101a</t>
  </si>
  <si>
    <t xml:space="preserve">Do LOE WPs have schedule variances?   </t>
  </si>
  <si>
    <t>X = Count of incomplete LOE WPs where (BCWPcum - BCWScum) does not equal 0</t>
  </si>
  <si>
    <t>Y = Total count of incomplete LOE WPs</t>
  </si>
  <si>
    <t>Added new calculated field for LOE WPs to check ETC as well as BAC/BCWPcum</t>
  </si>
  <si>
    <t>Filters: 
PerformanceMethod = "LevelOfEffort"
WP_Not_Complete_LOE = 1
SUM(
 IF( ((Round(BcwpCumulative, WP_RL) - Round(BcwsCumulative, WP_RL)) &lt;&gt; 0)
, 1, 0)
)</t>
  </si>
  <si>
    <t>Filters: 
PerformanceMethod = "LevelOfEffort"
WP_Not_Complete_LOE = 1
SUM(IF(
 ((Round(BcwpCumulative, WP_RL) - Round(BcwsCumulative, WP_RL)) &lt;&gt; 0)
 , 1, 0))
/
SUM(IF(NOT(ISBLANK(Id)) , 1, 0))</t>
  </si>
  <si>
    <t>Filters: 
PerformanceMethod = "LevelOfEffort"
WP_Not_Complete_LOE = 1
AND(
 ((Round(BcwpCumulative, WP_RL) - Round(BcwsCumulative, WP_RL)) &lt;&gt; 0)
)</t>
  </si>
  <si>
    <t>Guideline 13</t>
  </si>
  <si>
    <t>Establish overhead budgets for each significant organizational component of the company for expenses which will become indirect costs. Reflect in the program budgets, at the appropriate level, the amounts in overhead pools that are planned to be allocated to the program as indirect costs.</t>
  </si>
  <si>
    <t>13A101a</t>
  </si>
  <si>
    <t xml:space="preserve">Are published indirect rates consistent with those budgeted in the EV Cost Tool?  </t>
  </si>
  <si>
    <t>X = Count of sampled budgeted indirect rates that do not match between published rates and the budget rate table in the EV Cost Tool</t>
  </si>
  <si>
    <t>Y = Total count of sampled indirect rates</t>
  </si>
  <si>
    <t>_13A101a_X</t>
  </si>
  <si>
    <t>IF(_13A101a_Y &lt; 0, -0.01, 
 if((_13A101a_Y &gt; 0),(_13A101a_X / _13A101a_Y),0)
)</t>
  </si>
  <si>
    <t>Guideline 14</t>
  </si>
  <si>
    <t>Identify management reserves and undistributed budget.</t>
  </si>
  <si>
    <t>14A101a</t>
  </si>
  <si>
    <t xml:space="preserve">Is MR excluded from PMB? </t>
  </si>
  <si>
    <t>X = Absolute value of (MR - (TAB - PMB))</t>
  </si>
  <si>
    <t>Y = MR</t>
  </si>
  <si>
    <t>ABS(MR - (TAB - (TAB - MR)))</t>
  </si>
  <si>
    <t>IF(
 MR &gt; 0
 ,ABS(MR - (TAB - (TAB - MR))) / MR
 ,0
)</t>
  </si>
  <si>
    <t>14A201a</t>
  </si>
  <si>
    <t xml:space="preserve">Is UB included in PMB? </t>
  </si>
  <si>
    <t>X = Absolute value of (UB - (PMB - Distributed Budget))</t>
  </si>
  <si>
    <t>Y =  UB</t>
  </si>
  <si>
    <t xml:space="preserve">ABS(UB - ((TAB-MR) - DB))
</t>
  </si>
  <si>
    <t>IF(
 UB &gt; 0
 ,(ABS(UB - ((TAB-MR) - DB)) / UB)
 ,0
)</t>
  </si>
  <si>
    <t>14A202a</t>
  </si>
  <si>
    <t xml:space="preserve">Does UB have defined scope and is traceable to contractual actions?  </t>
  </si>
  <si>
    <t>X = Count of UB transactions without defined scope/not traceable to contract actions</t>
  </si>
  <si>
    <t>Y = Total count of UB transactions</t>
  </si>
  <si>
    <r>
      <t xml:space="preserve">X/Y </t>
    </r>
    <r>
      <rPr>
        <sz val="12"/>
        <rFont val="Calibri"/>
        <family val="2"/>
      </rPr>
      <t>≤</t>
    </r>
    <r>
      <rPr>
        <sz val="12"/>
        <rFont val="Calibri"/>
        <family val="2"/>
        <scheme val="minor"/>
      </rPr>
      <t xml:space="preserve"> 20%</t>
    </r>
  </si>
  <si>
    <t>_14A202a_X</t>
  </si>
  <si>
    <t>IF(_14A202a_Y &lt; 0, -0.01,
 if((_14A202a_Y &gt; 0),(_14A202a_X / _14A202a_Y), -1)
)</t>
  </si>
  <si>
    <t>14I101a</t>
  </si>
  <si>
    <t>Is MR traceable from the subcontractor/supplier to the prime EVMS?</t>
  </si>
  <si>
    <t xml:space="preserve">X = Subcontractor/Supplier MR that is not traceable to the prime EVMS </t>
  </si>
  <si>
    <t>Y = Subcontractor/Supplier MR</t>
  </si>
  <si>
    <t>_14I101a_X</t>
  </si>
  <si>
    <t>IF(_14I101a_Y &lt; 0, -0.01,
 if((_14I101a_Y &gt; 0),(_14I101a_X / _14I101a_Y),-1)
)</t>
  </si>
  <si>
    <t>Guideline 15</t>
  </si>
  <si>
    <t>Provide that the program target cost goal is reconciled with the sum of all internal program budgets and management reserves.</t>
  </si>
  <si>
    <t>15A101a</t>
  </si>
  <si>
    <t>Does total allocated budget (TAB) reconcile to the sum of budgets?</t>
  </si>
  <si>
    <t xml:space="preserve">X = |(NCC + AUW + OTB) – (PMB + MR)| </t>
  </si>
  <si>
    <t>Y = TAB</t>
  </si>
  <si>
    <r>
      <t xml:space="preserve">X/Y </t>
    </r>
    <r>
      <rPr>
        <sz val="12"/>
        <rFont val="Calibri"/>
        <family val="2"/>
      </rPr>
      <t>≤</t>
    </r>
    <r>
      <rPr>
        <sz val="12"/>
        <rFont val="Calibri"/>
        <family val="2"/>
        <scheme val="minor"/>
      </rPr>
      <t xml:space="preserve"> 0%</t>
    </r>
  </si>
  <si>
    <t xml:space="preserve">ABS((CBB - (SUM(BAC) + UB + MR)))
</t>
  </si>
  <si>
    <t>IF(
 TAB &gt; 0
 ,ABS((CBB - (SUM(BAC) + UB + MR))) / TAB 
 ,0
)</t>
  </si>
  <si>
    <t>CBB=CBB
tripwire is on and formula cannot be blank so …</t>
  </si>
  <si>
    <t>Guideline 16</t>
  </si>
  <si>
    <t>Record direct costs in a manner consistent with the budgets in a formal system controlled by the general books of account.</t>
  </si>
  <si>
    <t>16A101a</t>
  </si>
  <si>
    <r>
      <t>Does the ACWP</t>
    </r>
    <r>
      <rPr>
        <vertAlign val="subscript"/>
        <sz val="12"/>
        <rFont val="Calibri"/>
        <family val="2"/>
        <scheme val="minor"/>
      </rPr>
      <t>CUM</t>
    </r>
    <r>
      <rPr>
        <sz val="12"/>
        <rFont val="Calibri"/>
        <family val="2"/>
        <scheme val="minor"/>
      </rPr>
      <t xml:space="preserve"> in the EVMS reconcile to the actual costs in the accounting system?</t>
    </r>
  </si>
  <si>
    <t>X = Sum of actual direct costs that do not reconcile between the EV Cost Tool and the Accounting System</t>
  </si>
  <si>
    <r>
      <t>Y = Sum of total direct ACWP</t>
    </r>
    <r>
      <rPr>
        <vertAlign val="subscript"/>
        <sz val="12"/>
        <rFont val="Calibri"/>
        <family val="2"/>
        <scheme val="minor"/>
      </rPr>
      <t>CUM</t>
    </r>
    <r>
      <rPr>
        <sz val="12"/>
        <rFont val="Calibri"/>
        <family val="2"/>
        <scheme val="minor"/>
      </rPr>
      <t xml:space="preserve"> from the EV Cost Tool</t>
    </r>
  </si>
  <si>
    <t xml:space="preserve">X/Y &lt; 1% </t>
  </si>
  <si>
    <t>_16A101a_X</t>
  </si>
  <si>
    <t>IF(_16A101a_Y &lt; 0, -0.01,
 if((_16A101a_Y &gt; 0),(_16A101a_X / _16A101a_Y),0)
)</t>
  </si>
  <si>
    <t>16A301a</t>
  </si>
  <si>
    <t xml:space="preserve">Are estimated actuals properly used to account for the cost of work accomplished that has not yet been recorded in the accounting system?  </t>
  </si>
  <si>
    <t>X = Count of sampled instances of estimated actuals that are not supported/documented</t>
  </si>
  <si>
    <t>Y = Total count of sampled instances of estimated actuals</t>
  </si>
  <si>
    <t>X/Y &lt; 5%</t>
  </si>
  <si>
    <t>_16A301a_X</t>
  </si>
  <si>
    <t>IF(_16A301a_Y &lt; 0, -0.01, 
 if((_16A301a_Y &gt; 0),(_16A301a_X / _16A301a_Y),0)
)</t>
  </si>
  <si>
    <t>16A501a</t>
  </si>
  <si>
    <t>Is Non-Material ACWP being recorded without BCWP?</t>
  </si>
  <si>
    <t xml:space="preserve">X = Absolute value of Non-Material, Non-LOE ACWPCUR on incomplete CAs/WPs where Non-Material, Non-LOE ACWPCUR ≠ 0 and Non-Material, Non-LOE BCWPCUR = 0 </t>
  </si>
  <si>
    <t>Y = Absolute value of total Non-Material, Non-LOE ACWPCUR on incomplete CAs/WPs</t>
  </si>
  <si>
    <t>Use when actuals are collected at the WP level
This now subtracts estimated actuals from the ACWP in the calculated fields. If you don't use estimated actuals, this will be zero so it should not impact the metric.</t>
  </si>
  <si>
    <t>Filters:
PerformanceMethod &lt;&gt; LevelOfEffort
WP_Not_Complete_Non_Material = 1
SUM(IF(
   (Round(WP_NON_MATERIAL_ACWP_CUR_NO_LOE, WP_RL) &lt;&gt; 0)
 * (Round(WP_NON_MATERIAL_BCWP_CUR_NO_LOE, WP_RL) = 0)
 , ABS(WP_NON_MATERIAL_ACWP_CUR_NO_LOE)
 , 0)
)</t>
  </si>
  <si>
    <t>Filters:
PerformanceMethod &lt;&gt; LevelOfEffort
WP_Not_Complete_Non_Material = 1
IF(Round(SUM(ABS(WP_NON_MATERIAL_ACWP_CUR_NO_LOE)), WP_RL) &gt; 0,
Round(SUM(IF(
   (Round(WP_NON_MATERIAL_ACWP_CUR_NO_LOE, WP_RL) &lt;&gt; 0)
 * (Round(WP_NON_MATERIAL_BCWP_CUR_NO_LOE, WP_RL) = 0)
 , ABS(WP_NON_MATERIAL_ACWP_CUR_NO_LOE)
 , 0))
, WP_RL)
/
ABS(Round(SUM(WP_NON_MATERIAL_ACWP_CUR_NO_LOE), WP_RL))
,0)</t>
  </si>
  <si>
    <t xml:space="preserve">Filters:
PerformanceMethod &lt;&gt; LevelOfEffort
WP_Not_Complete_Non_Material = 1
AND(
 (Round(WP_NON_MATERIAL_ACWP_CUR_NO_LOE, WP_RL) &lt;&gt; 0)
 ,
 (Round(WP_NON_MATERIAL_BCWP_CUR_NO_LOE, WP_RL) = 0)
)
</t>
  </si>
  <si>
    <t>Use when actuals are collected at the CA level
This now subtracts estimated actuals from the ACWP in the calculated fields. If you don't use estimated actuals, this will be zero so it should not impact the metric.</t>
  </si>
  <si>
    <t>Filters:
WP_Not_Complete_Non_Material_No_LOE = 1
SUM(IF(
   (Round(WP_NON_MATERIAL_ACWP_CUR_NO_LOE, WP_RL) &lt;&gt; 0)
 * (Round(WP_NON_MATERIAL_BCWP_CUR_NO_LOE, WP_RL) = 0)
 , ABS(WP_NON_MATERIAL_ACWP_CUR_NO_LOE)
 , 0)
)</t>
  </si>
  <si>
    <t>Filters:
WP_Not_Complete_Non_Material_No_LOE = 1
IF(ABS(Round(SUM(WP_NON_MATERIAL_ACWP_CUR_NO_LOE), WP_RL)) &gt; 0,
Round(SUM(IF(
   (Round(WP_NON_MATERIAL_ACWP_CUR_NO_LOE, WP_RL) &lt;&gt; 0)
 * (Round(WP_NON_MATERIAL_BCWP_CUR_NO_LOE, WP_RL) = 0)
 , ABS(WP_NON_MATERIAL_ACWP_CUR_NO_LOE)
 , 0))
, WP_RL)
/
ABS(Round(SUM(WP_NON_MATERIAL_ACWP_CUR_NO_LOE), WP_RL))
,0)</t>
  </si>
  <si>
    <t xml:space="preserve">Filters:
WP_Not_Complete_Non_Material_No_LOE = 1
AND(
 (Round(WP_NON_MATERIAL_ACWP_CUR_NO_LOE, WP_RL) &lt;&gt; 0)
 ,
 (Round(WP_NON_MATERIAL_BCWP_CUR_NO_LOE, WP_RL) = 0)
)
</t>
  </si>
  <si>
    <t>16A501b</t>
  </si>
  <si>
    <t>Is Non-Material BCWP being recorded without ACWP?</t>
  </si>
  <si>
    <t xml:space="preserve">X = Absolute value of Non-Material, Non-LOE BCWPCUR on incomplete CAs/WPs where Non-Material, Non-LOE BCWPCUR ≠ 0 and Non-Material, Non-LOE ACWPCUR = 0 </t>
  </si>
  <si>
    <t>Y = Absolute value of total Non-Material, Non-LOE BCWPCUR on incomplete CAs/WPs</t>
  </si>
  <si>
    <t xml:space="preserve">Filters:
PerformanceMethod &lt;&gt; LevelOfEffort
WP_Not_Complete_Non_Material = 1
SUM(IF(
   (Round(WP_NON_MATERIAL_BCWP_CUR_NO_LOE, WP_RL) &lt;&gt; 0)
 * (Round(WP_NON_MATERIAL_ACWP_CUR_NO_LOE, WP_RL) = 0)
 , ABS(WP_NON_MATERIAL_BCWP_CUR_NO_LOE)
 , 0)
)
</t>
  </si>
  <si>
    <t>Filters:
PerformanceMethod &lt;&gt; LevelOfEffort
WP_Not_Complete_Non_Material = 1
IF(ABS(Round(SUM(WP_NON_MATERIAL_BCWP_CUR_NO_LOE), WP_RL)) &gt; 0,
Round(SUM(IF(
   (Round(WP_NON_MATERIAL_BCWP_CUR_NO_LOE, WP_RL) &lt;&gt; 0)
 * (Round(WP_NON_MATERIAL_ACWP_CUR_NO_LOE, WP_RL) = 0)
 , ABS(WP_NON_MATERIAL_BCWP_CUR_NO_LOE)
 , 0))
, WP_RL)
/ 
ABS(Round(SUM(WP_NON_MATERIAL_BCWP_CUR_NO_LOE), WP_RL))
,0)</t>
  </si>
  <si>
    <t xml:space="preserve">Filters:
PerformanceMethod &lt;&gt; LevelOfEffort
WP_Not_Complete_Non_Material = 1
AND(
 (Round(WP_NON_MATERIAL_BCWP_CUR_NO_LOE, WP_RL) &lt;&gt; 0)
 ,
 (Round(WP_NON_MATERIAL_ACWP_CUR_NO_LOE, WP_RL) = 0)
)
</t>
  </si>
  <si>
    <t xml:space="preserve">Filters:
WP_Not_Complete_Non_Material_No_LOE = 1
SUM( IF(
   (Round(WP_NON_MATERIAL_BCWP_CUR_NO_LOE, WP_RL) &lt;&gt; 0)
 * (Round(WP_NON_MATERIAL_ACWP_CUR_NO_LOE, WP_RL) = 0)
  , ABS(WP_NON_MATERIAL_BCWP_CUR_NO_LOE)
  , 0)
)
</t>
  </si>
  <si>
    <t>Filters:
WP_Not_Complete_Non_Material_No_LOE = 1
IF(ABS(Round(SUM(WP_NON_MATERIAL_BCWP_CUR_NO_LOE), WP_RL)) &gt; 0,
Round(SUM(IF(
   (Round(WP_NON_MATERIAL_BCWP_CUR_NO_LOE, WP_RL) &lt;&gt; 0)
 * (Round(WP_NON_MATERIAL_ACWP_CUR_NO_LOE, WP_RL) = 0)
 , ABS(WP_NON_MATERIAL_BCWP_CUR_NO_LOE)
 , 0))
, WP_RL)
/ 
ABS(Round(SUM(WP_NON_MATERIAL_BCWP_CUR_NO_LOE), WP_RL))
,0)</t>
  </si>
  <si>
    <t xml:space="preserve">Filters:
WP_Not_Complete_Non_Material_No_LOE = 1
AND(
 (Round(WP_NON_MATERIAL_BCWP_CUR_NO_LOE, WP_RL) &lt;&gt; 0)
 ,
 (Round(WP_NON_MATERIAL_ACWP_CUR_NO_LOE, WP_RL) = 0)
)
</t>
  </si>
  <si>
    <t>16A501c</t>
  </si>
  <si>
    <t xml:space="preserve">X = Absolute value of Non-Material, Non-LOE ACWPCUM on incomplete CAs/WPs where Non-Material, Non-LOE ACWPCUM ≠ 0 and Non-Material, Non-LOE BCWPCUM = 0 </t>
  </si>
  <si>
    <t>Y = Absolute value of total Non-Material, Non-LOE ACWPCUM on incomplete CAs/WPs</t>
  </si>
  <si>
    <t>Filters:
PerformanceMethod &lt;&gt; LevelOfEffort
WP_Not_Complete_Non_Material = 1
SUM(IF(
   (Round(WP_NON_MATERIAL_ACWP_CUM_NO_LOE, WP_RL) &lt;&gt; 0)
 * (Round(WP_NON_MATERIAL_BCWP_CUM_NO_LOE, WP_RL) = 0)
 , ABS(WP_NON_MATERIAL_ACWP_CUM_NO_LOE)
 , 0)
)</t>
  </si>
  <si>
    <t>Filters:
PerformanceMethod &lt;&gt; LevelOfEffort
WP_Not_Complete_Non_Material = 1
IF(ABS(Round(SUM(WP_NON_MATERIAL_ACWP_CUM_NO_LOE), WP_RL)) &gt; 0,
Round(SUM(IF(
   (Round(WP_NON_MATERIAL_ACWP_CUM_NO_LOE, WP_RL) &lt;&gt; 0)
 * (Round(WP_NON_MATERIAL_BCWP_CUM_NO_LOE, WP_RL) = 0)
 , ABS(WP_NON_MATERIAL_ACWP_CUM_NO_LOE)
 , 0))
, WP_RL)
/
ABS(Round(SUM(WP_NON_MATERIAL_ACWP_CUM_NO_LOE), WP_RL))
,0)</t>
  </si>
  <si>
    <t xml:space="preserve">Filters:
PerformanceMethod &lt;&gt; LevelOfEffort
WP_Not_Complete_Non_Material = 1
AND(
 (Round(WP_NON_MATERIAL_ACWP_CUM_NO_LOE, WP_RL) &lt;&gt; 0)
 ,
 (Round(WP_NON_MATERIAL_BCWP_CUM_NO_LOE, WP_RL) = 0)
)
</t>
  </si>
  <si>
    <t xml:space="preserve">Filters:
WP_Not_Complete_Non_Material_No_LOE = 1
SUM(IF(
   (Round(WP_NON_MATERIAL_ACWP_CUM_NO_LOE, WP_RL) &lt;&gt; 0)
 * (Round(WP_NON_MATERIAL_BCWP_CUM_NO_LOE, WP_RL) = 0)
 , ABS(WP_NON_MATERIAL_ACWP_CUM_NO_LOE)
 , 0)
)
</t>
  </si>
  <si>
    <t>Filters:
WP_Not_Complete_Non_Material_No_LOE = 1
IF(ABS(Round(SUM(WP_NON_MATERIAL_ACWP_CUM_NO_LOE), WP_RL)) &gt; 0,
Round(SUM(IF(
   (Round(WP_NON_MATERIAL_ACWP_CUM_NO_LOE, WP_RL) &lt;&gt; 0)
 * (Round(WP_NON_MATERIAL_BCWP_CUM_NO_LOE, WP_RL) = 0)
 , ABS(WP_NON_MATERIAL_ACWP_CUM_NO_LOE)
 , 0))
, WP_RL)
/
ABS(Round(SUM(WP_NON_MATERIAL_ACWP_CUM_NO_LOE), WP_RL))
,0)</t>
  </si>
  <si>
    <t xml:space="preserve">Filters:
WP_Not_Complete_Non_Material_No_LOE = 1
AND(
 (Round(WP_NON_MATERIAL_ACWP_CUM_NO_LOE, WP_RL) &lt;&gt; 0)
 ,
 (Round(WP_NON_MATERIAL_BCWP_CUM_NO_LOE, WP_RL) = 0)
)
</t>
  </si>
  <si>
    <t>16A501d</t>
  </si>
  <si>
    <t xml:space="preserve">X = Absolute value of Non-Material, Non-LOE BCWPCUM on incomplete CAs/WPs where Non-Material, Non-LOE BCWPCUM ≠  0 and Non-Material Non-LOE ACWPCUM = 0 </t>
  </si>
  <si>
    <t>Y = Absolute value of total Non-Material, Non-LOE BCWPCUM on incomplete CA/WPs</t>
  </si>
  <si>
    <t xml:space="preserve">Filters:
PerformanceMethod &lt;&gt; LevelOfEffort
WP_Not_Complete_Non_Material = 1
SUM(IF(
   (Round(WP_NON_MATERIAL_BCWP_CUM_NO_LOE, WP_RL) &lt;&gt; 0)
 * (Round(WP_NON_MATERIAL_ACWP_CUM_NO_LOE, WP_RL) = 0)
 , ABS(WP_NON_MATERIAL_BCWP_CUM_NO_LOE)
 , 0)
)
</t>
  </si>
  <si>
    <t>Filters:
PerformanceMethod &lt;&gt; LevelOfEffort
WP_Not_Complete_Non_Material = 1
IF(ABS(Round(SUM(WP_NON_MATERIAL_BCWP_CUM_NO_LOE), WP_RL)) &gt; 0,
Round(SUM(IF(
   (Round(WP_NON_MATERIAL_BCWP_CUM_NO_LOE, WP_RL) &lt;&gt; 0)
 * (Round(WP_NON_MATERIAL_ACWP_CUM_NO_LOE, WP_RL) = 0)
 , ABS(WP_NON_MATERIAL_BCWP_CUM_NO_LOE)
 , 0))
, WP_RL)
/ 
ABS(Round(SUM(WP_NON_MATERIAL_BCWP_CUM_NO_LOE), WP_RL))
,0)</t>
  </si>
  <si>
    <t xml:space="preserve">Filters:
PerformanceMethod &lt;&gt; LevelOfEffort
WP_Not_Complete_Non_Material = 1
AND(
 (Round(WP_NON_MATERIAL_BCWP_CUM_NO_LOE, WP_RL) &lt;&gt; 0)
 ,
 (Round(WP_NON_MATERIAL_ACWP_CUM_NO_LOE, WP_RL) = 0)
)
</t>
  </si>
  <si>
    <t>Filters:
WP_Not_Complete_Non_Material_No_LOE = 1
SUM(IF(
   (Round(WP_NON_MATERIAL_BCWP_CUM_NO_LOE, WP_RL) &lt;&gt; 0)
 * (Round(WP_NON_MATERIAL_ACWP_CUM_NO_LOE, WP_RL) = 0)
 , ABS(WP_NON_MATERIAL_BCWP_CUM_NO_LOE)
 , 0)
)</t>
  </si>
  <si>
    <t>Filters:
WP_Not_Complete_Non_Material_No_LOE = 1
IF(ABS(Round(SUM(WP_NON_MATERIAL_BCWP_CUM_NO_LOE), WP_RL)) &gt; 0,
Round(SUM(IF(
   (Round(WP_NON_MATERIAL_BCWP_CUM_NO_LOE, WP_RL) &lt;&gt; 0)
 * (Round(WP_NON_MATERIAL_ACWP_CUM_NO_LOE, WP_RL) = 0)
 , ABS(WP_NON_MATERIAL_BCWP_CUM_NO_LOE)
 , 0))
, WP_RL)
/ 
ABS(Round(SUM(WP_NON_MATERIAL_BCWP_CUM_NO_LOE), WP_RL))
,0)</t>
  </si>
  <si>
    <t xml:space="preserve">Filters:
WP_Not_Complete_Non_Material_No_LOE = 1
AND(
 (Round(WP_NON_MATERIAL_BCWP_CUM_NO_LOE, WP_RL) &lt;&gt; 0)
 ,
 (Round(WP_NON_MATERIAL_ACWP_CUM_NO_LOE, WP_RL) = 0)
)
</t>
  </si>
  <si>
    <t>16A502a</t>
  </si>
  <si>
    <t xml:space="preserve">Are actual costs excluding material being incurred on completed work?   </t>
  </si>
  <si>
    <t>X = Absolute value of Non-Material, Non-LOE ACWPcur on completed CA/WP where Non-Material, Non-LOE ACWPcur ≠ 0 and Non-material, Non-LOE BCWPcur = 0</t>
  </si>
  <si>
    <t xml:space="preserve">Y = Absolute value of total Non-Material, Non-LOE ACWPcur on completed CAs/WPs.
</t>
  </si>
  <si>
    <t xml:space="preserve">X/Y &lt;  5%
</t>
  </si>
  <si>
    <t>Added NEW calculated field to support changed assumption
Use when actuals are collected at the WP level
This now subtracts estimated actuals from the ACWP in the calculated fields. If you don't use estimated actuals, this will be zero so it should not impact the metric.</t>
  </si>
  <si>
    <t>Filters:
PerformanceMethod &lt;&gt; LevelOfEffort
WP_Not_Complete_Non_Material_Eq = 0
ROUND(SUM(IF(
   (Round(WP_NON_MATERIAL_ACWP_CUR_NO_LOE, WP_RL) &lt;&gt; 0)
 * (Round(WP_NON_MATERIAL_BCWP_CUR_NO_LOE, WP_RL) = 0)
 , ABS(WP_NON_MATERIAL_ACWP_CUR_NO_LOE)
 , 0))
, WP_RL)</t>
  </si>
  <si>
    <t>Filters:
PerformanceMethod &lt;&gt; LevelOfEffort
WP_Not_Complete_Non_Material_Eq = 0
IF(ABS(Round(SUM(WP_NON_MATERIAL_ACWP_CUR_NO_LOE), WP_RL)) &gt; 0,
Round(SUM(IF(
   (Round(WP_NON_MATERIAL_ACWP_CUR_NO_LOE, WP_RL) &lt;&gt; 0)
 * (Round(WP_NON_MATERIAL_BCWP_CUR_NO_LOE, WP_RL) = 0)
 , ABS(WP_NON_MATERIAL_ACWP_CUR_NO_LOE)
 , 0))
, WP_RL)
/
ABS(Round(SUM(WP_NON_MATERIAL_ACWP_CUR_NO_LOE), WP_RL))
,0)</t>
  </si>
  <si>
    <t>Filters:
PerformanceMethod &lt;&gt; LevelOfEffort
WP_Not_Complete_Non_Material_Eq = 0
AND(
 (Round(WP_NON_MATERIAL_ACWP_CUR_NO_LOE, WP_RL) &lt;&gt; 0)
 ,
 (Round(WP_NON_MATERIAL_BCWP_CUR_NO_LOE, WP_RL) = 0)
)</t>
  </si>
  <si>
    <t>Filters:
WP_Not_Complete_Non_Material_Eq_No_LOE  = 0
ROUND(SUM(IF(
   (Round(WP_NON_MATERIAL_ACWP_CUR_NO_LOE, WP_RL) &lt;&gt; 0)
 * (Round(WP_NON_MATERIAL_BCWP_CUR_NO_LOE, WP_RL) = 0)
 , ABS(WP_NON_MATERIAL_ACWP_CUR_NO_LOE)
 , 0))
, WP_RL)</t>
  </si>
  <si>
    <t>Filters:
WP_Not_Complete_Non_Material_Eq_No_LOE  = 0
IF(ABS(Round(SUM(WP_NON_MATERIAL_ACWP_CUR_NO_LOE), WP_RL)) &gt; 0,
Round(SUM(IF(
   (Round(WP_NON_MATERIAL_ACWP_CUR_NO_LOE, WP_RL) &lt;&gt; 0)
 * (Round(WP_NON_MATERIAL_BCWP_CUR_NO_LOE, WP_RL) = 0)
 , ABS(WP_NON_MATERIAL_ACWP_CUR_NO_LOE)
 , 0))
, WP_RL)
/
ABS(Round(SUM(WP_NON_MATERIAL_ACWP_CUR_NO_LOE), WP_RL))
,0)</t>
  </si>
  <si>
    <t>Filters:
WP_Not_Complete_Non_Material_Eq_No_LOE  = 0
AND(
 (Round(WP_NON_MATERIAL_BCWP_CUR_NO_LOE, WP_RL) = 0)
 ,
 (Round(WP_NON_MATERIAL_ACWP_CUR_NO_LOE, WP_RL) &gt; 0)
)</t>
  </si>
  <si>
    <t>Guideline 17</t>
  </si>
  <si>
    <t>When a work breakdown structure is used, summarize direct costs from control accounts into the work breakdown structure without allocation of a single control account to two or more work breakdown structure elements.</t>
  </si>
  <si>
    <t>17A101a</t>
  </si>
  <si>
    <r>
      <t>Does ACWP</t>
    </r>
    <r>
      <rPr>
        <vertAlign val="subscript"/>
        <sz val="12"/>
        <rFont val="Calibri"/>
        <family val="2"/>
        <scheme val="minor"/>
      </rPr>
      <t>CUR</t>
    </r>
    <r>
      <rPr>
        <sz val="12"/>
        <rFont val="Calibri"/>
        <family val="2"/>
        <scheme val="minor"/>
      </rPr>
      <t xml:space="preserve"> summarize from the lowest defined level where actual costs are collected through the WBS hierarchy without allocation to two or more higher-level WBS elements?</t>
    </r>
  </si>
  <si>
    <r>
      <t>X = Count of occurrences where the sum of the child ACWP</t>
    </r>
    <r>
      <rPr>
        <vertAlign val="subscript"/>
        <sz val="12"/>
        <rFont val="Calibri"/>
        <family val="2"/>
        <scheme val="minor"/>
      </rPr>
      <t>CUR</t>
    </r>
    <r>
      <rPr>
        <sz val="12"/>
        <rFont val="Calibri"/>
        <family val="2"/>
        <scheme val="minor"/>
      </rPr>
      <t xml:space="preserve"> does not equal the ACWP</t>
    </r>
    <r>
      <rPr>
        <vertAlign val="subscript"/>
        <sz val="12"/>
        <rFont val="Calibri"/>
        <family val="2"/>
        <scheme val="minor"/>
      </rPr>
      <t>CUR</t>
    </r>
    <r>
      <rPr>
        <sz val="12"/>
        <rFont val="Calibri"/>
        <family val="2"/>
        <scheme val="minor"/>
      </rPr>
      <t xml:space="preserve"> of the parent WBS element </t>
    </r>
  </si>
  <si>
    <t>Y = Count of parent WBS elements</t>
  </si>
  <si>
    <t>_17A101a_X</t>
  </si>
  <si>
    <t>if((_17A101a_Y &gt; 0),(_17A101a_X / _17A101a_Y),0)</t>
  </si>
  <si>
    <t>Guideline 18</t>
  </si>
  <si>
    <t>Summarize direct costs from the control accounts into the contractor’s organizational elements without allocation of a single control account to two or more organizational elements.</t>
  </si>
  <si>
    <t>18A101a</t>
  </si>
  <si>
    <r>
      <t>Does ACWP</t>
    </r>
    <r>
      <rPr>
        <vertAlign val="subscript"/>
        <sz val="12"/>
        <rFont val="Calibri"/>
        <family val="2"/>
        <scheme val="minor"/>
      </rPr>
      <t>CUR</t>
    </r>
    <r>
      <rPr>
        <sz val="12"/>
        <rFont val="Calibri"/>
        <family val="2"/>
        <scheme val="minor"/>
      </rPr>
      <t xml:space="preserve"> summarize from the lowest defined level where actual costs are collected through the OBS hierarchy without allocation to two or more higher-level OBS elements?</t>
    </r>
  </si>
  <si>
    <r>
      <t>X = Count of occurrences where the sum of the child ACWP</t>
    </r>
    <r>
      <rPr>
        <vertAlign val="subscript"/>
        <sz val="12"/>
        <rFont val="Calibri"/>
        <family val="2"/>
        <scheme val="minor"/>
      </rPr>
      <t>CUR</t>
    </r>
    <r>
      <rPr>
        <sz val="12"/>
        <rFont val="Calibri"/>
        <family val="2"/>
        <scheme val="minor"/>
      </rPr>
      <t xml:space="preserve"> does not equal the ACWP</t>
    </r>
    <r>
      <rPr>
        <vertAlign val="subscript"/>
        <sz val="12"/>
        <rFont val="Calibri"/>
        <family val="2"/>
        <scheme val="minor"/>
      </rPr>
      <t>CUR</t>
    </r>
    <r>
      <rPr>
        <sz val="12"/>
        <rFont val="Calibri"/>
        <family val="2"/>
        <scheme val="minor"/>
      </rPr>
      <t xml:space="preserve"> of the parent OBS element </t>
    </r>
  </si>
  <si>
    <t>Y = Count of parent OBS elements</t>
  </si>
  <si>
    <t>_18A101a_X</t>
  </si>
  <si>
    <t>if((_18A101a_Y &gt; 0),(_18A101a_X / _18A101a_Y),0)</t>
  </si>
  <si>
    <t>Guideline 19</t>
  </si>
  <si>
    <t>Record all indirect costs which will be allocated to the program consistent with the overhead budgets.</t>
  </si>
  <si>
    <t>19A101a</t>
  </si>
  <si>
    <t xml:space="preserve">Are published indirect rates consistent with those applied in the EV Cost Tool for actual costs?  </t>
  </si>
  <si>
    <t>X = Count of indirect rates that do not match between published rates and the rate table in the EV Cost Tool</t>
  </si>
  <si>
    <t xml:space="preserve">Y = Total count of indirect rates </t>
  </si>
  <si>
    <t>_19A101a_X</t>
  </si>
  <si>
    <t>IF(_19A101a_Y &lt; 0, -0.01, 
 if((_19A101a_Y &gt; 0),(_19A101a_X / _19A101a_Y),0)
)</t>
  </si>
  <si>
    <t>19A101b</t>
  </si>
  <si>
    <t>Are the bases and rates for allocating costs from each indirect pool consistently applied?</t>
  </si>
  <si>
    <t>X = Count of sampled indirect rates that do not match between published rates and the rate applied in the EVMS cost report</t>
  </si>
  <si>
    <t>_19A101b_X</t>
  </si>
  <si>
    <t>IF(_19A101b_Y &lt; 0, -0.01, 
 if((_19A101b_Y &gt; 0),(_19A101b_X / _19A101b_Y),0)
)</t>
  </si>
  <si>
    <t>19A401a</t>
  </si>
  <si>
    <t>Does ACWPCUM in the EVMS reconcile to actual costs in the accounting system?</t>
  </si>
  <si>
    <t>X = Sum of actual indirect costs that do not reconcile between the EV Cost Tool and the Accounting System</t>
  </si>
  <si>
    <t>Y = Sum of total indirect ACWPcum from the EV Cost Tool</t>
  </si>
  <si>
    <t>_19A401a_X</t>
  </si>
  <si>
    <t>IF(_19A401a_Y &lt; 0, -0.01, 
 IF((_19A401a_Y &gt; 0),(_19A401a_X / _19A401a_Y),0)
)</t>
  </si>
  <si>
    <t>Guideline 20</t>
  </si>
  <si>
    <t>Identify unit costs, equivalent unit costs, or lot costs when needed.</t>
  </si>
  <si>
    <t>20A101a</t>
  </si>
  <si>
    <t xml:space="preserve">If required, is the contractor’s system capable of reporting in unit or lot costs in a production or manufacturing environment? </t>
  </si>
  <si>
    <t>X = System that cannot produce reports in unit or lot costs in terms of labor, material, other direct costs, and indirect costs derived from the accounting system</t>
  </si>
  <si>
    <t>IF(_20A101a_X, "✓", "X")</t>
  </si>
  <si>
    <t>20A201a</t>
  </si>
  <si>
    <t>If required, are the cost accumulation structures established identifying recurring/non-recurring costs?</t>
  </si>
  <si>
    <t>X = System that cannot produce reports in terms of recurring or nonrecurring costs derived from the accounting system</t>
  </si>
  <si>
    <t>IF(_20A201a_X, "✓", "X")</t>
  </si>
  <si>
    <t>Guideline 21</t>
  </si>
  <si>
    <t>For EVMS, the material accounting system will provide for: 1) Accurate cost accumulation and assignment of costs to control accounts in a manner consistent with the budgets using recognized, acceptable, costing techniques. 2) Cost recorded for accomplishing work performed in the same period that earned value is measured and at the point in time most suitable for the category of material involved, but no earlier than the time of actual receipt of material. 3) Full accountability of all material purchased for the project including the residual inventory.</t>
  </si>
  <si>
    <t>21A301a</t>
  </si>
  <si>
    <t>Are actual material costs being incurred on completed work?</t>
  </si>
  <si>
    <t xml:space="preserve">X = Absolute value of Material, Non-LOE ACWPcur on completed CAs/WPs where Material, Non-LOE ACWPcur ≠ 0, and Material, Non-LOE BCWPcur = 0
</t>
  </si>
  <si>
    <t>Y = Absolute value of total Material, Non-LOE ACWPcur on completed CAs/WPs</t>
  </si>
  <si>
    <t>Added NEW calculated field to support changed assumption
Use when actuals are collected at the WP level
This now subtracts estimated actuals from the ACWP in the calculated fields. If you don't use estimated actuals, this will be zero so it should not impact the metric.
Updated filters WP_Not_Complete_Material_Eq to ensure there is material EOC on the WP</t>
  </si>
  <si>
    <t>Filter: 
PerformanceMethod &lt;&gt; LevelOfEffort
WP_Not_Complete_Material_Eq = 0
SUM(IF(
   (Round(WP_MATERIAL_ACWP_CUR_NO_LOE, WP_RL) &lt;&gt; 0)
 * (Round(WP_MATERIAL_BCWP_CUR_NO_LOE, WP_RL)  = 0)
 , ABS(WP_MATERIAL_ACWP_CUR_NO_LOE)
 , 0)
)</t>
  </si>
  <si>
    <t>Filter: 
PerformanceMethod &lt;&gt; LevelOfEffort
WP_Not_Complete_Material_Eq = 0
IF(Round(SUM(ABS(WP_MATERIAL_ACWP_CUR_NO_LOE)), WP_RL) &gt; 0,
Round(SUM(IF(
   (Round(WP_MATERIAL_ACWP_CUR_NO_LOE, WP_RL) &lt;&gt; 0)
 * (Round(WP_MATERIAL_BCWP_CUR_NO_LOE, WP_RL)  = 0)
 , ABS(WP_MATERIAL_ACWP_CUR_NO_LOE)
 , 0))
, WP_RL)
/
ABS(Round(SUM(WP_MATERIAL_ACWP_CUR_NO_LOE), WP_RL))
,0)</t>
  </si>
  <si>
    <t xml:space="preserve">Filter: 
PerformanceMethod &lt;&gt; LevelOfEffort
WP_Not_Complete_Material_Eq = 0
AND(
 (Round(WP_MATERIAL_ACWP_CUR_NO_LOE, WP_RL) &lt;&gt; 0),
 (Round(WP_MATERIAL_BCWP_CUR_NO_LOE, WP_RL)  = 0)
)
</t>
  </si>
  <si>
    <t>Filter: 
WP_Not_Complete_Material_Eq = 0
SUM(IF(
   (Round(WP_MATERIAL_ACWP_CUR_NO_LOE, WP_RL) &lt;&gt; 0)
 * (Round(WP_MATERIAL_BCWP_CUR_NO_LOE, WP_RL)  = 0)
 , ABS(WP_MATERIAL_ACWP_CUR_NO_LOE)
 , 0)
)</t>
  </si>
  <si>
    <t>Filter: 
WP_Not_Complete_Material_Eq = 0
IF(ABS(Round(SUM(WP_MATERIAL_ACWP_CUR_NO_LOE), WP_RL)) &gt; 0,
Round(SUM(IF(
   (Round(WP_MATERIAL_ACWP_CUR_NO_LOE, WP_RL) &lt;&gt; 0)
 * (Round(WP_MATERIAL_BCWP_CUR_NO_LOE, WP_RL)  = 0)
 , ABS(WP_MATERIAL_ACWP_CUR_NO_LOE)
 , 0))
, WP_RL)
/
ABS(Round(SUM(WP_MATERIAL_ACWP_CUR_NO_LOE), WP_RL))
,0)</t>
  </si>
  <si>
    <t>Filter: 
WP_Not_Complete_Material_Eq = 0
AND(
 (Round(WP_MATERIAL_ACWP_CUR_NO_LOE, WP_RL) &lt;&gt; 0),
 (Round(WP_MATERIAL_BCWP_CUR_NO_LOE, WP_RL)  = 0)
)</t>
  </si>
  <si>
    <t>21A302a</t>
  </si>
  <si>
    <t>Is material ACWP being recorded without BCWP?</t>
  </si>
  <si>
    <t xml:space="preserve">X = Absolute value of Material, Non-LOE ACWPCUR on incomplete CAs/WPs where Material, Non-LOE ACWPCUR ≠ 0 and Material, Non-LOE BCWPCUR = 0 </t>
  </si>
  <si>
    <t>Y = Absolute value of total Material, Non-LOE ACWPCUR  on incomplete CAs/WPs</t>
  </si>
  <si>
    <t>Use when actuals are collected at the WP level
This now subtracts estimated actuals from the ACWP in the calculated fields. If you don't use estimated actuals, this will be zero so it should not impact the metric.
Updated filters WP_Not_Complete_Material to ensure there is material EOC on the WP</t>
  </si>
  <si>
    <t xml:space="preserve">Filters: 
PerformanceMethod &lt;&gt; LevelOfEffort
WP_Not_Complete_Material = 1
SUM(IF(
   (Round(WP_MATERIAL_ACWP_CUR_NO_LOE, WP_RL) &lt;&gt; 0)
 * (Round(WP_MATERIAL_BCWP_CUR_NO_LOE, WP_RL) = 0)
 , ABS(WP_MATERIAL_ACWP_CUR_NO_LOE)
 , 0)
)
</t>
  </si>
  <si>
    <t>Filters: 
PerformanceMethod &lt;&gt; LevelOfEffort
WP_Not_Complete_Material = 1
IF(Round(SUM(ABS(WP_MATERIAL_ACWP_CUR_NO_LOE)), WP_RL) &gt; 0,
Round(SUM(IF(
   (Round(WP_MATERIAL_ACWP_CUR_NO_LOE, WP_RL) &lt;&gt; 0)
 * (Round(WP_MATERIAL_BCWP_CUR_NO_LOE, WP_RL) = 0)
 , ABS(WP_MATERIAL_ACWP_CUR_NO_LOE)
 , 0))
, WP_RL)
/
ABS(Round(SUM(WP_MATERIAL_ACWP_CUR_NO_LOE), WP_RL))
,0)</t>
  </si>
  <si>
    <t xml:space="preserve">Filters: 
PerformanceMethod &lt;&gt; LevelOfEffort
WP_Not_Complete_Material = 1
AND(
 (Round(WP_MATERIAL_ACWP_CUR_NO_LOE, WP_RL) &lt;&gt; 0)
 ,
 (Round(WP_MATERIAL_BCWP_CUR_NO_LOE, WP_RL) = 0)
)
</t>
  </si>
  <si>
    <t>Use when actuals are collected at the CA level
This now subtracts estimated actuals from the ACWP in the calculated fields. If you don't use estimated actuals, this will be zero so it should not impact the metric.
Updated filters WP_Not_Complete_Material to ensure there is material EOC on the WP</t>
  </si>
  <si>
    <t>Filters: 
WP_Not_Complete_Material = 1
SUM(IF(
   (Round(WP_MATERIAL_ACWP_CUR_NO_LOE, WP_RL) &lt;&gt; 0)
 * (Round(WP_MATERIAL_BCWP_CUR_NO_LOE, WP_RL) = 0)
 , ABS(WP_MATERIAL_ACWP_CUR_NO_LOE)
 , 0)
)</t>
  </si>
  <si>
    <t>Filters: 
WP_Not_Complete_Material = 1
IF(ABS(Round(SUM(WP_MATERIAL_ACWP_CUR_NO_LOE), WP_RL)) &gt; 0,
Round(SUM(IF(
   (Round(WP_MATERIAL_ACWP_CUR_NO_LOE, WP_RL) &lt;&gt; 0)
 * (Round(WP_MATERIAL_BCWP_CUR_NO_LOE, WP_RL) = 0)
 , ABS(WP_MATERIAL_ACWP_CUR_NO_LOE)
 , 0))
, WP_RL)
/
ABS(Round(SUM(WP_MATERIAL_ACWP_CUR_NO_LOE), WP_RL))
,0)</t>
  </si>
  <si>
    <t xml:space="preserve">Filters: 
WP_Not_Complete_Material = 1
AND(
 (Round(WP_MATERIAL_ACWP_CUR_NO_LOE, WP_RL) &lt;&gt; 0)
 ,
 (Round(WP_MATERIAL_BCWP_CUR_NO_LOE, WP_RL) = 0)
)
</t>
  </si>
  <si>
    <t>21A302b</t>
  </si>
  <si>
    <t>Is material BCWP being recorded without ACWP?</t>
  </si>
  <si>
    <t xml:space="preserve">X = Absolute value of Material, Non-LOE BCWPCUR on incomplete CAs/WPs where Material, Non-LOE BCWPCUR ≠ 0 and Material, Non-LOE ACWPCUR = 0 </t>
  </si>
  <si>
    <t>Y = Absolute value of total Material, Non-LOE BCWPCUR on incomplete CAs/WPs</t>
  </si>
  <si>
    <t>Filters: 
PerformanceMethod &lt;&gt; LevelOfEffort
WP_Not_Complete_Material = 1
SUM(IF(
   (Round(WP_MATERIAL_BCWP_CUR_NO_LOE, WP_RL) &lt;&gt; 0)
 * (Round(WP_MATERIAL_ACWP_CUR_NO_LOE, WP_RL) = 0)
 , ABS(WP_MATERIAL_BCWP_CUR_NO_LOE)
 , 0)
)</t>
  </si>
  <si>
    <t>Filters: 
PerformanceMethod &lt;&gt; LevelOfEffort
WP_Not_Complete_Material = 1
IF(Round(SUM(ABS(WP_MATERIAL_BCWP_CUR_NO_LOE)), WP_RL) &gt; 0,
Round(SUM(IF(
   (Round(WP_MATERIAL_BCWP_CUR_NO_LOE, WP_RL) &lt;&gt; 0)
 * (Round(WP_MATERIAL_ACWP_CUR_NO_LOE, WP_RL) = 0)
 , ABS(WP_MATERIAL_BCWP_CUR_NO_LOE)
 , 0))
, WP_RL)
/ 
ABS(Round(SUM(WP_MATERIAL_BCWP_CUR_NO_LOE), WP_RL))
,0)</t>
  </si>
  <si>
    <t>Filters: 
PerformanceMethod &lt;&gt; LevelOfEffort
WP_Not_Complete_Material = 1
AND(
 (Round(WP_MATERIAL_BCWP_CUR_NO_LOE, WP_RL) &lt;&gt; 0)
 ,
 (Round(WP_MATERIAL_ACWP_CUR_NO_LOE, WP_RL) = 0)
)</t>
  </si>
  <si>
    <t>Filters:
WP_Not_Complete_Material = 1
SUM(IF(
   (Round(WP_MATERIAL_BCWP_CUR_NO_LOE, WP_RL) &lt;&gt; 0)
 * (Round(WP_MATERIAL_ACWP_CUR_NO_LOE, WP_RL) = 0)
 , ABS(WP_MATERIAL_BCWP_CUR_NO_LOE)
 , 0)
)</t>
  </si>
  <si>
    <t>Filters:
WP_Not_Complete_Material = 1
IF(ABS(Round(SUM(WP_MATERIAL_BCWP_CUR_NO_LOE), WP_RL)) &gt; 0,
Round(SUM(IF(
   (Round(WP_MATERIAL_BCWP_CUR_NO_LOE, WP_RL) &lt;&gt; 0)
 * (Round(WP_MATERIAL_ACWP_CUR_NO_LOE, WP_RL) = 0)
 , ABS(WP_MATERIAL_BCWP_CUR_NO_LOE)
 , 0))
, WP_RL)
/ 
ABS(Round(SUM(WP_MATERIAL_BCWP_CUR_NO_LOE), WP_RL))
,0)</t>
  </si>
  <si>
    <t>Filters:
WP_Not_Complete_Material = 1
AND(
 (Round(WP_MATERIAL_BCWP_CUR_NO_LOE, WP_RL) &lt;&gt; 0)
 ,
 (Round(WP_MATERIAL_ACWP_CUR_NO_LOE, WP_RL) = 0)
)</t>
  </si>
  <si>
    <t>21A302c</t>
  </si>
  <si>
    <t xml:space="preserve">X = Absolute value of Material, Non-LOE ACWPCUM on incomplete CAs/WPs where Material, Non-LOE ACWPCUM ≠ 0 and Material, Non-LOE BCWPCUM = 0 </t>
  </si>
  <si>
    <t>Y = Absolute value of total Material, Non-LOE ACWPCUM on incomplete CAs/WPs</t>
  </si>
  <si>
    <r>
      <t xml:space="preserve">X/Y </t>
    </r>
    <r>
      <rPr>
        <sz val="12"/>
        <rFont val="Calibri"/>
        <family val="2"/>
      </rPr>
      <t>≤</t>
    </r>
    <r>
      <rPr>
        <sz val="9.6"/>
        <rFont val="Calibri"/>
        <family val="2"/>
      </rPr>
      <t xml:space="preserve"> 5%</t>
    </r>
  </si>
  <si>
    <t>Filters: 
PerformanceMethod &lt;&gt; LevelOfEffort
WP_Not_Complete_Material = 1
SUM(IF(
   (Round(WP_MATERIAL_ACWP_CUM_NO_LOE, WP_RL) &lt;&gt; 0)
 * (Round(WP_MATERIAL_BCWP_CUM_NO_LOE, WP_RL) = 0)
 , ABS(WP_MATERIAL_ACWP_CUM_NO_LOE)
 , 0)
)</t>
  </si>
  <si>
    <t>Filters: 
PerformanceMethod &lt;&gt; LevelOfEffort
WP_Not_Complete_Material = 1
IF(Round(SUM(ABS(WP_MATERIAL_ACWP_CUM_NO_LOE)), WP_RL) &gt; 0,
Round(SUM(IF(
   (Round(WP_MATERIAL_ACWP_CUM_NO_LOE, WP_RL) &lt;&gt; 0)
 * (Round(WP_MATERIAL_BCWP_CUM_NO_LOE, WP_RL) = 0)
 , ABS(WP_MATERIAL_ACWP_CUM_NO_LOE)
 , 0))
, WP_RL)
/ 
ABS(Round(SUM(WP_MATERIAL_ACWP_CUM_NO_LOE), WP_RL))
,0)</t>
  </si>
  <si>
    <t xml:space="preserve">Filters: 
PerformanceMethod &lt;&gt; LevelOfEffort
WP_Not_Complete_Material = 1
AND(
 (Round(WP_MATERIAL_ACWP_CUM_NO_LOE, WP_RL) &lt;&gt; 0)
 ,
 (Round(WP_MATERIAL_BCWP_CUM_NO_LOE, WP_RL) = 0)
)
</t>
  </si>
  <si>
    <t>Filters:
WP_Not_Complete_Material = 1
SUM(IF(
   (Round(WP_MATERIAL_ACWP_CUM_NO_LOE, WP_RL) &lt;&gt; 0)
 * (Round(WP_MATERIAL_BCWP_CUM_NO_LOE, WP_RL) = 0)
 , ABS(WP_MATERIAL_ACWP_CUM_NO_LOE)
 , 0)
)</t>
  </si>
  <si>
    <t>Filters:
WP_Not_Complete_Material = 1
IF(ABS(Round(SUM(WP_MATERIAL_ACWP_CUM_NO_LOE), WP_RL)) &gt; 0,
Round(SUM(IF(
   (Round(WP_MATERIAL_ACWP_CUM_NO_LOE, WP_RL) &lt;&gt; 0)
 * (Round(WP_MATERIAL_BCWP_CUM_NO_LOE, WP_RL) = 0)
 , ABS(WP_MATERIAL_ACWP_CUM_NO_LOE)
 , 0))
, WP_RL)
/ 
ABS(Round(SUM(WP_MATERIAL_ACWP_CUM_NO_LOE), WP_RL))
,0)</t>
  </si>
  <si>
    <t>Filters:
WP_Not_Complete_Material = 1
AND(
 (Round(WP_MATERIAL_ACWP_CUM_NO_LOE, WP_RL) &lt;&gt; 0)
 ,
 (Round(WP_MATERIAL_BCWP_CUM_NO_LOE, WP_RL) = 0)
)</t>
  </si>
  <si>
    <t>21A302d</t>
  </si>
  <si>
    <t xml:space="preserve">X = Absolute value of Material, Non-LOE BCWPCUM on incomplete CAs/WPs where Material, Non-LOE BCWPCUM ≠  0 and Material Non-LOE ACWPCUM = 0 </t>
  </si>
  <si>
    <t>Y = Absolute value of total Material, Non-LOE BCWPCUM on incomplete CAs/WPs</t>
  </si>
  <si>
    <t>Filters: 
PerformanceMethod &lt;&gt; LevelOfEffort
WP_Not_Complete_Material = 1
SUM(IF(
   (Round(WP_MATERIAL_BCWP_CUM_NO_LOE, WP_RL) &lt;&gt; 0)
 * (Round(WP_MATERIAL_ACWP_CUM_NO_LOE, WP_RL) = 0)
 , ABS(WP_MATERIAL_BCWP_CUM_NO_LOE)
 , 0)
)</t>
  </si>
  <si>
    <t>Filters: 
PerformanceMethod &lt;&gt; LevelOfEffort
WP_Not_Complete_Material = 1
IF(Round(SUM(ABS(WP_MATERIAL_BCWP_CUM_NO_LOE)), WP_RL) &gt; 0,
Round(SUM(IF(
   (Round(WP_MATERIAL_BCWP_CUM_NO_LOE, WP_RL) &lt;&gt; 0)
 * (Round(WP_MATERIAL_ACWP_CUM_NO_LOE, WP_RL) = 0)
 , ABS(WP_MATERIAL_BCWP_CUM_NO_LOE)
 , 0))
, WP_RL)
/
ABS(Round(SUM(WP_MATERIAL_BCWP_CUM_NO_LOE), WP_RL))
,0)</t>
  </si>
  <si>
    <t xml:space="preserve">Filters: 
PerformanceMethod &lt;&gt; LevelOfEffort
WP_Not_Complete_Material = 1
AND(
 (Round(WP_MATERIAL_BCWP_CUM_NO_LOE, WP_RL) &lt;&gt; 0)
 ,
 (Round(WP_MATERIAL_ACWP_CUM_NO_LOE, WP_RL) = 0)
)
</t>
  </si>
  <si>
    <t>Filters:
WP_Not_Complete_Material = 1
SUM(IF(
   (Round(WP_MATERIAL_BCWP_CUM_NO_LOE, WP_RL) &lt;&gt; 0)
 * (Round(WP_MATERIAL_ACWP_CUM_NO_LOE, WP_RL) = 0)
 , ABS(WP_MATERIAL_BCWP_CUM_NO_LOE)
 , 0)
)</t>
  </si>
  <si>
    <t>Filters:
WP_Not_Complete_Material = 1
IF(ABS(Round(SUM(WP_MATERIAL_BCWP_CUM_NO_LOE), WP_RL)) &gt; 0,
Round(SUM(IF(
   (Round(WP_MATERIAL_BCWP_CUM_NO_LOE, WP_RL) &lt;&gt; 0)
 * (Round(WP_MATERIAL_ACWP_CUM_NO_LOE, WP_RL) = 0)
 , ABS(WP_MATERIAL_BCWP_CUM_NO_LOE)
 , 0))
, WP_RL)
/
ABS(Round(SUM(WP_MATERIAL_BCWP_CUM_NO_LOE), WP_RL))
,0)</t>
  </si>
  <si>
    <t xml:space="preserve">Filters:
WP_Not_Complete_Material = 1
AND(
 (Round(WP_MATERIAL_BCWP_CUM_NO_LOE, WP_RL) &lt;&gt; 0)
 ,
 (Round(WP_MATERIAL_ACWP_CUM_NO_LOE, WP_RL) = 0)
)
</t>
  </si>
  <si>
    <t>21A401a</t>
  </si>
  <si>
    <t>Are  material EVTs implemented per the contractor’s procedures?</t>
  </si>
  <si>
    <t>X = BAC of sampled incomplete material WPs with LOE, PERT, Apportioned, or blank EVT not implemented per the contractor’s procedures</t>
  </si>
  <si>
    <t>Y = Total BAC of sampled incomplete LOE, PERT, Apportioned, or blank EVTmaterial WPs</t>
  </si>
  <si>
    <r>
      <t xml:space="preserve"> X/Y </t>
    </r>
    <r>
      <rPr>
        <sz val="12"/>
        <rFont val="Calibri"/>
        <family val="2"/>
      </rPr>
      <t>≤</t>
    </r>
    <r>
      <rPr>
        <sz val="12"/>
        <rFont val="Calibri"/>
        <family val="2"/>
        <scheme val="minor"/>
      </rPr>
      <t xml:space="preserve"> 0%</t>
    </r>
  </si>
  <si>
    <t>_21A401a_X</t>
  </si>
  <si>
    <t>IF(_21A401a_Y &lt; 0, -0.01, 
 if((_21A401a_Y &gt; 0),(_21A401a_X / _21A401a_Y),0)
)</t>
  </si>
  <si>
    <t>Updated filters WP_Not_Complete_Material_LOE to ensure there is material EOC on the WP</t>
  </si>
  <si>
    <t xml:space="preserve">Filters: 
WP_Not_Complete_Material_LOE = 1
SUM(
 IF(
   ( (PerformanceMethod = "LevelOfEffort")
   + (PerformanceMethod = "Apportioned")
   + (PerformanceMethod = "CalculatedApportionment")
   + (PerformanceMethod = "PERT")
   + (PerformanceMethod = "")
   ) &gt; 0
 , EOC_Material_BAC
 , 0)
)
</t>
  </si>
  <si>
    <t>Filters: 
WP_Not_Complete_Material_LOE = 1
SUM(
 IF(
   ( (PerformanceMethod = "LevelOfEffort")
   + (PerformanceMethod = "Apportioned")
   + (PerformanceMethod = "CalculatedApportionment")
   + (PerformanceMethod = "PERT")
   + (PerformanceMethod = "")
   ) &gt; 0
 , EOC_Material_BAC
 , 0)
)
/
SUM(EOC_Material_BAC)</t>
  </si>
  <si>
    <t xml:space="preserve">Filters: 
WP_Not_Complete_Material_LOE = 1
AND(OR(
 (PerformanceMethod = "LevelOfEffort"),
 (PerformanceMethod = "Apportioned"),
 (PerformanceMethod = "CalculatedApportionment"),
 (PerformanceMethod = "PERT"),
 (PerformanceMethod = "")
))
</t>
  </si>
  <si>
    <t>21A601a</t>
  </si>
  <si>
    <t>Does the contractor have the ability to account for all material purchased (e.g. material issued to control accounts, return of unused material, scrap quantity and disposition, and residual inventory)?</t>
  </si>
  <si>
    <t>X = Count of sampled material items issued to contract that are not accounted for</t>
  </si>
  <si>
    <t>Y = Total count of sampled material items identified in BOM</t>
  </si>
  <si>
    <t>_21A601a_X</t>
  </si>
  <si>
    <t>IF(_21A601a_Y &lt; 0, -0.01, 
 if((_21A601a_Y &gt; 0),(_21A601a_X / _21A601a_Y),0)
)</t>
  </si>
  <si>
    <t>21I101a</t>
  </si>
  <si>
    <t>Are material transfers and loans processed to ensure appropriate collection of direct costs and performance measurement?</t>
  </si>
  <si>
    <t>X = Count of sampled material transfers and loans not processed correctly</t>
  </si>
  <si>
    <t>Y = Total number of sampled material transfers and loans</t>
  </si>
  <si>
    <t>X/Y &lt; 10%</t>
  </si>
  <si>
    <t>_21I101a_X</t>
  </si>
  <si>
    <t>IF(_21I101a_Y &lt; 0, -0.01, 
 if((_21I101a_Y &gt; 0),(_21I101a_X / _21I101a_Y),0)
)</t>
  </si>
  <si>
    <t>Guideline 22</t>
  </si>
  <si>
    <t>At least on a monthly basis, generate the following information at the control account and other levels as necessary for management control using actual cost data from, or reconcilable with, the accounting system: 1) Comparison of the amount of planned budget and the amount of budget earned for work accomplished. This comparison provides the schedule variance. 2) Comparison of the amount of the budget earned and the actual (applied where appropriate) direct costs for the same work. This comparison provides the cost variance.</t>
  </si>
  <si>
    <t>22A101a</t>
  </si>
  <si>
    <t>Are there cost and schedule variance calculations at the control account level (at a minimum)?</t>
  </si>
  <si>
    <t>X = Count of sampled incomplete control accounts without correct variance calculations</t>
  </si>
  <si>
    <t>Y = Total count of sampled incomplete control accounts</t>
  </si>
  <si>
    <t>_22A101a_X</t>
  </si>
  <si>
    <t>IF(_22A101a_Y &lt; 0, -0.01, 
 if((_22A101a_Y &gt; 0),(_22A101a_X / _22A101a_Y),0)
)</t>
  </si>
  <si>
    <t>22I102a</t>
  </si>
  <si>
    <t>Is performance greater than budget (BAC)?</t>
  </si>
  <si>
    <r>
      <t>X = BCWP</t>
    </r>
    <r>
      <rPr>
        <vertAlign val="subscript"/>
        <sz val="12"/>
        <rFont val="Calibri"/>
        <family val="2"/>
        <scheme val="minor"/>
      </rPr>
      <t>CUM</t>
    </r>
    <r>
      <rPr>
        <sz val="12"/>
        <rFont val="Calibri"/>
        <family val="2"/>
        <scheme val="minor"/>
      </rPr>
      <t xml:space="preserve"> for WPs where BCWP</t>
    </r>
    <r>
      <rPr>
        <vertAlign val="subscript"/>
        <sz val="12"/>
        <rFont val="Calibri"/>
        <family val="2"/>
        <scheme val="minor"/>
      </rPr>
      <t>CUM</t>
    </r>
    <r>
      <rPr>
        <sz val="12"/>
        <rFont val="Calibri"/>
        <family val="2"/>
        <scheme val="minor"/>
      </rPr>
      <t xml:space="preserve"> is greater than BAC </t>
    </r>
  </si>
  <si>
    <r>
      <t>Y = Total BCWP</t>
    </r>
    <r>
      <rPr>
        <vertAlign val="subscript"/>
        <sz val="12"/>
        <rFont val="Calibri"/>
        <family val="2"/>
        <scheme val="minor"/>
      </rPr>
      <t>CUM</t>
    </r>
    <r>
      <rPr>
        <sz val="12"/>
        <rFont val="Calibri"/>
        <family val="2"/>
        <scheme val="minor"/>
      </rPr>
      <t xml:space="preserve"> for all WPs</t>
    </r>
  </si>
  <si>
    <t>SUM(IF(
   (Round(BcwpCumulative, WP_RL) &gt;= (Round(BAC, WP_RL) + 100)) , BcwpCumulative , 0)
)</t>
  </si>
  <si>
    <t>IF(
 SUM(Round(BcwpCumulative, WP_RL) &gt; 0)
 ,
  SUM(IF(
   (Round(BcwpCumulative, WP_RL) &gt;= (Round(BAC, WP_RL) + 100)) , BcwpCumulative , 0)
  )
  / 
  SUM(BcwpCumulative)
 ,
 0
)
+N("new check to see if there is any progress")</t>
  </si>
  <si>
    <t>AND(
 Round(BcwpCumulative,WP_RL) &gt;= (Round(BAC,WP_RL) + 100)
)</t>
  </si>
  <si>
    <t>Guideline 23</t>
  </si>
  <si>
    <t>Identify, at least monthly, the significant differences between both planned and actual schedule performance and planned and actual cost performance, and provide the reasons for the variances in the detail needed by program management.</t>
  </si>
  <si>
    <t>23A101a</t>
  </si>
  <si>
    <t>Are required VARs being generated for control accounts and SLPPs that exceed established internal thresholds?</t>
  </si>
  <si>
    <t>X = Count of incomplete control accounts and SLPPs missing VARs where required</t>
  </si>
  <si>
    <t>Y = Total count of incomplete control accounts and SLPPs requiring VARs</t>
  </si>
  <si>
    <t>_23A101a_X</t>
  </si>
  <si>
    <t>IF(_23A101a_Y &lt; 0, -0.01, 
 if((_23A101a_Y &gt; 0),(_23A101a_X / _23A101a_Y),0)
)</t>
  </si>
  <si>
    <t>23A201a</t>
  </si>
  <si>
    <t>Are Rate &amp; Volume (Labor) and Price &amp; Usage (Material) Variance formulas correctly applied at the control account level?</t>
  </si>
  <si>
    <r>
      <t xml:space="preserve">Verify formulas:   
</t>
    </r>
    <r>
      <rPr>
        <u/>
        <sz val="12"/>
        <rFont val="Calibri"/>
        <family val="2"/>
        <scheme val="minor"/>
      </rPr>
      <t>Labor</t>
    </r>
    <r>
      <rPr>
        <sz val="12"/>
        <rFont val="Calibri"/>
        <family val="2"/>
        <scheme val="minor"/>
      </rPr>
      <t xml:space="preserve">
Rate Variance = (Earned Rate - Actual Rate) * Actual Hours
Volume Variance = (Earned Hours - Actual Hours) * Earned Rate
</t>
    </r>
    <r>
      <rPr>
        <u/>
        <sz val="12"/>
        <rFont val="Calibri"/>
        <family val="2"/>
        <scheme val="minor"/>
      </rPr>
      <t>Material</t>
    </r>
    <r>
      <rPr>
        <sz val="12"/>
        <rFont val="Calibri"/>
        <family val="2"/>
        <scheme val="minor"/>
      </rPr>
      <t xml:space="preserve">
Price Variance = (Earned Unit Price - Actual Unit Price) * Actual Quantity
Usage Variance = (Earned Quantity - Actual Quantity) * Earned Unit Price</t>
    </r>
  </si>
  <si>
    <t>Within Threshold / Out of Threshold</t>
  </si>
  <si>
    <t>IF(_23A201a_X, "✓", "X")</t>
  </si>
  <si>
    <t>23A301a</t>
  </si>
  <si>
    <t>Does the Schedule Variance (SV) analysis include documented impact to future tasks/activities &amp; milestones on the critical path, near-critical paths, or driving paths?</t>
  </si>
  <si>
    <t>X = Count of sampled CA with reported SV VARs that do not address impact to the critical path, near-critical paths, or driving paths</t>
  </si>
  <si>
    <t>Y = Total count of sampled CA with reported SV VARs</t>
  </si>
  <si>
    <t>X/Y &lt; 20%</t>
  </si>
  <si>
    <t>_23A301a_X</t>
  </si>
  <si>
    <t>IF(_23A301a_Y &lt; 0, -0.01, 
 if((_23A301a_Y &gt; 0),(_23A301a_X / _23A301a_Y),0)
)</t>
  </si>
  <si>
    <t>23A401a</t>
  </si>
  <si>
    <t xml:space="preserve">Does the root cause analysis, impact and corrective action address the variance/issue?  </t>
  </si>
  <si>
    <t>X = Count of sampled VARs (including root cause, impact, and corrective action) that do not address variance/issue</t>
  </si>
  <si>
    <t>Y = Total count of sampled VARs</t>
  </si>
  <si>
    <t xml:space="preserve">X/Y &lt; 15% </t>
  </si>
  <si>
    <t>_23A401a_X</t>
  </si>
  <si>
    <t>IF(_23A401a_Y &lt; 0, -0.01, 
 if((_23A401a_Y &gt; 0),(_23A401a_X / _23A401a_Y),0)
)</t>
  </si>
  <si>
    <t>Guideline 24</t>
  </si>
  <si>
    <t>Identify budgeted and applied (or actual) indirect costs at the level and frequency needed by management for effective control, along with the reasons for any significant variances.</t>
  </si>
  <si>
    <t>24A101a</t>
  </si>
  <si>
    <t>Does indirect variance analysis address root cause, impact, and corrective action?</t>
  </si>
  <si>
    <t>X = Count of overhead categories that do not address indirect cost variances when required</t>
  </si>
  <si>
    <t>Y = Total count of overhead categories that require indirect cost variance analysis</t>
  </si>
  <si>
    <t>_24A101a_X</t>
  </si>
  <si>
    <t>IF(_24A101a_Y &lt; 0, -0.01, 
 if((_24A101a_Y &gt; 0),(_24A101a_X / _24A101a_Y),0)
)</t>
  </si>
  <si>
    <t>Guideline 25</t>
  </si>
  <si>
    <t>Summarize the data elements and associated variances through the program organization and/or work breakdown structure to support management needs and any customer reporting specified in the project.</t>
  </si>
  <si>
    <t>25A101a</t>
  </si>
  <si>
    <t xml:space="preserve">Do BCWS, BCWP, ACWP, BAC and EAC summarize through the WBS?  </t>
  </si>
  <si>
    <t xml:space="preserve">X = Count of occurrences where the sum of the child {*} does not equal the {*} of the parent WBS element, where {*} equals:
a) BCWSCUR
b) BCWSCUM
c) BCWPCUR
d) BCWPCUM
e) ACWPCUM
f) BAC
g) EAC
</t>
  </si>
  <si>
    <t>Y = Total count of parent WBS elements</t>
  </si>
  <si>
    <r>
      <t xml:space="preserve">SUM(if(WP_Count&gt;0,
  IF(
   (IF(ABS(Round(BcwsCurrent, WP_RL) - Round(WP_SUM_BCWScur, WP_RL)) &gt; 100, 1, 0)
   +
   IF(ABS(Round(BcwsCumulative, WP_RL) - Round(WP_SUM_BCWScum, WP_RL)) &gt; 100, 1, 0)
   +
   IF(ABS(Round(BcwpCurrent, WP_RL) - Round(WP_SUM_BCWPcur, WP_RL)) &gt; 100, 1, 0)
   +
   IF(ABS(Round(BcwpCumulative, WP_RL) - Round(WP_SUM_BCWPcum, WP_RL)) &gt; 100, 1, 0)
   +
   IF(ABS(Round(AcwpCumulative, WP_RL) - Round(WP_SUM_ACWPcum, WP_RL)) &gt; 100, 1, 0)
   +
   IF(ABS(Round(Bac, WP_RL) - Round(WP_SUM_BAC, WP_RL)) &gt; 100, 1, 0)
   +
   IF(ABS(Round(Eac, WP_RL) - Round(WP_SUM_Eac, WP_RL)) &gt; 100, 1, 0) )&gt;0
  ,1,0)
 ,0)
)
</t>
    </r>
    <r>
      <rPr>
        <sz val="12"/>
        <color rgb="FFFF0000"/>
        <rFont val="Calibri"/>
        <family val="2"/>
        <scheme val="minor"/>
      </rPr>
      <t>OR for Manual</t>
    </r>
    <r>
      <rPr>
        <sz val="12"/>
        <rFont val="Calibri"/>
        <family val="2"/>
        <scheme val="minor"/>
      </rPr>
      <t xml:space="preserve">
_25A101a_X</t>
    </r>
  </si>
  <si>
    <r>
      <t xml:space="preserve">Automatic
</t>
    </r>
    <r>
      <rPr>
        <sz val="12"/>
        <color rgb="FFFF0000"/>
        <rFont val="Calibri"/>
        <family val="2"/>
        <scheme val="minor"/>
      </rPr>
      <t>OR for Manual</t>
    </r>
    <r>
      <rPr>
        <sz val="12"/>
        <rFont val="Calibri"/>
        <family val="2"/>
        <scheme val="minor"/>
      </rPr>
      <t xml:space="preserve">
IF(_25A101a_Y &lt; 0, -0.01, 
 if((_25A101a_Y &gt; 0),(_25A101a_X / _25A101a_Y),0)
)
</t>
    </r>
  </si>
  <si>
    <t xml:space="preserve">AND(WP_Count&gt;0,
 OR(
   ABS(Round(BcwsCurrent, WP_RL) - Round(WP_SUM_BCWScur, WP_RL)) &gt; 100,
   ABS(Round(BcwsCumulative, WP_RL) - Round(WP_SUM_BCWScum, WP_RL)) &gt; 100,
   ABS(Round(BcwpCurrent, WP_RL) - Round(WP_SUM_BCWPcur, WP_RL)) &gt; 100,
   ABS(Round(BcwpCumulative, WP_RL) - Round(WP_SUM_BCWPcum, WP_RL)) &gt; 100,
   ABS(Round(AcwpCumulative, WP_RL) - Round(WP_SUM_ACWPcum, WP_RL)) &gt; 100,
   ABS(Round(Bac, WP_RL) - Round(WP_SUM_BAC, WP_RL)) &gt; 100,
   ABS(Round(Eac, WP_RL) - Round(WP_SUM_Eac, WP_RL)) &gt; 100
 )
)
</t>
  </si>
  <si>
    <t>25A102a</t>
  </si>
  <si>
    <t xml:space="preserve">Do BCWS, BCWP, ACWP, BAC and EAC summarize through the OBS?  </t>
  </si>
  <si>
    <t xml:space="preserve">X = Count of occurrences where the sum of the child {*} does not equal the {*} of the parent OBS element, where {*} equals:
a) BCWSCUR
b) BCWSCUM
c) BCWPCUR
d) BCWPCUM
e) ACWPCUM
f) BAC
g) EAC
</t>
  </si>
  <si>
    <t>Y = Total count of parent OBS elements</t>
  </si>
  <si>
    <r>
      <t xml:space="preserve">SUM(if(WP_Count&gt;0,
  IF(
   (IF(ABS(Round(BcwsCurrent, WP_RL) - Round(WP_SUM_BCWScur, WP_RL)) &gt; 100, 1, 0)
   +
   IF(ABS(Round(BcwsCumulative, WP_RL) - Round(WP_SUM_BCWScum, WP_RL)) &gt; 100, 1, 0)
   +
   IF(ABS(Round(BcwpCurrent, WP_RL) - Round(WP_SUM_BCWPcur, WP_RL)) &gt; 100, 1, 0)
   +
   IF(ABS(Round(BcwpCumulative, WP_RL) - Round(WP_SUM_BCWPcum, WP_RL)) &gt; 100, 1, 0)
   +
   IF(ABS(Round(AcwpCumulative, WP_RL) - Round(WP_SUM_ACWPcum, WP_RL)) &gt; 100, 1, 0)
   +
   IF(ABS(Round(Bac, WP_RL) - Round(WP_SUM_BAC, WP_RL)) &gt; 100, 1, 0)
   +
   IF(ABS(Round(Eac, WP_RL) - Round(WP_SUM_Eac, WP_RL)) &gt; 100, 1, 0) )&gt;0
  ,1,0)
 ,0)
)
</t>
    </r>
    <r>
      <rPr>
        <sz val="12"/>
        <color rgb="FFFF0000"/>
        <rFont val="Calibri"/>
        <family val="2"/>
        <scheme val="minor"/>
      </rPr>
      <t>OR for Manual</t>
    </r>
    <r>
      <rPr>
        <sz val="12"/>
        <rFont val="Calibri"/>
        <family val="2"/>
        <scheme val="minor"/>
      </rPr>
      <t xml:space="preserve">
_25A102a_X</t>
    </r>
  </si>
  <si>
    <r>
      <t xml:space="preserve">Automatic
</t>
    </r>
    <r>
      <rPr>
        <sz val="12"/>
        <color rgb="FFFF0000"/>
        <rFont val="Calibri"/>
        <family val="2"/>
        <scheme val="minor"/>
      </rPr>
      <t>OR for Manual</t>
    </r>
    <r>
      <rPr>
        <sz val="12"/>
        <rFont val="Calibri"/>
        <family val="2"/>
        <scheme val="minor"/>
      </rPr>
      <t xml:space="preserve">
IF(_25A102a_Y &lt; 0, -0.01, 
 if((_25A102a_Y &gt; 0),(_25A102a_X / _25A102a_Y),0)
)</t>
    </r>
  </si>
  <si>
    <t xml:space="preserve">AND(WP_Count&gt;0,
 OR(
   ABS(Round(BcwsCurrent, WP_RL) - Round(WP_SUM_BCWScur, WP_RL)) &gt; 100,
   ABS(Round(BcwsCumulative, WP_RL) - Round(WP_SUM_BCWScum, WP_RL)) &gt; 100,
   ABS(Round(BcwpCurrent, WP_RL) - Round(WP_SUM_BCWPcur, WP_RL)) &gt; 100,
   ABS(Round(BcwpCumulative, WP_RL) - Round(WP_SUM_BCWPcum, WP_RL)) &gt; 100,
   ABS(Round(AcwpCumulative, WP_RL) - Round(WP_SUM_ACWPcum, WP_RL)) &gt; 100,
   ABS(Round(Bac, WP_RL) - Round(WP_SUM_BAC, WP_RL)) &gt; 100,
   ABS(Round(Eac, WP_RL) - Round(WP_SUM_Eac, WP_RL)) &gt; 100
 )
)
</t>
  </si>
  <si>
    <t>Guideline 26</t>
  </si>
  <si>
    <t>Implement managerial action taken as the result of earned value information.</t>
  </si>
  <si>
    <t>26A201a</t>
  </si>
  <si>
    <t>Are corrective actions properly tracked?</t>
  </si>
  <si>
    <t>X = Count of VARs with corrective actions that are not in the corrective action log</t>
  </si>
  <si>
    <t>Y = Total count of VARs with corrective actions</t>
  </si>
  <si>
    <t>_26A201a_X</t>
  </si>
  <si>
    <t>IF(_26A201a_Y &lt; 0, -0.01, 
 if((_26A201a_Y &gt; 0),(_26A201a_X / _26A201a_Y),0)
)</t>
  </si>
  <si>
    <t>26A202a</t>
  </si>
  <si>
    <t>Are corrective actions being monitored to the point of resolution and closure?</t>
  </si>
  <si>
    <t>X = Count of open corrective actions with estimated completion dates before time now</t>
  </si>
  <si>
    <t>Y = Total count of open corrective actions</t>
  </si>
  <si>
    <t>_26A202a_X</t>
  </si>
  <si>
    <t>IF(_26A202a_Y &lt; 0, -0.01, 
 if((_26A202a_Y &gt; 0),(_26A202a_X / _26A202a_Y),0)
)</t>
  </si>
  <si>
    <t>Guideline 27</t>
  </si>
  <si>
    <t>Develop revised estimates of cost at completion based on performance to date, commitment values for material, and estimates of future conditions. Compare this information with the performance measurement baseline to identify variances at completion important to company management and any applicable customer reporting requirements including statements of funding requirements.</t>
  </si>
  <si>
    <t>27A101a</t>
  </si>
  <si>
    <t>Are comprehensive EACs completed at least annually?</t>
  </si>
  <si>
    <t>X = Count of contracts without a comprehensive EAC completed within the past year (at a minimum)</t>
  </si>
  <si>
    <t>Y = Total count of contracts</t>
  </si>
  <si>
    <t>_27A101a_X</t>
  </si>
  <si>
    <t>IF(_27A101a_Y &lt; 0, -0.01, 
 if((_27A101a_Y &gt; 0),(_27A101a_X / _27A101a_Y),0)
)</t>
  </si>
  <si>
    <t>27A101b</t>
  </si>
  <si>
    <t>Are comprehensive EACs performed according to the standards described in the EVM system description?</t>
  </si>
  <si>
    <t>X = Count of contracts with a CEAC not performed according to the EVMSD</t>
  </si>
  <si>
    <t>_27A101b_X</t>
  </si>
  <si>
    <t>27A102a</t>
  </si>
  <si>
    <t>Are time-phased estimates to complete aligned with the remaining tasks in the integrated master schedule?</t>
  </si>
  <si>
    <t>X = Count of incomplete WPs/PPs/SLPPs in the EV Cost Tool where time-phased ETC does not align with forecast dates in the IMS</t>
  </si>
  <si>
    <t>Y = Total count of incomplete WPs/PPs/SLPPs in the EV Cost Tool that are also within the IMS</t>
  </si>
  <si>
    <t>X/Y &lt;  10%</t>
  </si>
  <si>
    <t>upodated filter to include LOE assumption</t>
  </si>
  <si>
    <t>Filters:
WP_Not_Complete_Discrete_LOE = 1
ActivityCount &gt; 0
SUM(
 IF(
  ( (ActMinEStart &gt; ActProjTNow) *
    ((FISCALPERIODNUM(ActMinEStart,Project) &lt;&gt; FISCALPERIODNUM(TimePhaseEtcStart,Project))
    + (ABS(DAYS360(ActMinEStart,TimePhaseEtcStart)) &gt; 40)) &gt; 0)
 +
  (((FISCALPERIODNUM(ActMaxEFinish,Project) &lt;&gt; FISCALPERIODNUM(TimePhaseEtcFinish,Project))
    + (ABS(DAYS360(ActMaxEFinish,TimePhaseEtcFinish)) &gt; 40)) &gt; 0)
 ,1,0)
)</t>
  </si>
  <si>
    <t>Filters:
WP_Not_Complete_Discrete_LOE = 1
ActivityCount &gt; 0
automatic</t>
  </si>
  <si>
    <t>Filters:
WP_Not_Complete_Discrete_LOE = 1
ActivityCount &gt; 0
OR(
 OR(
  (FISCALPERIODNUM(ActMaxEFinish,Project) &lt;&gt; FISCALPERIODNUM(TimePhaseEtcFinish,Project))
  ,(ABS(DAYS360(ActMaxEFinish,TimePhaseEtcFinish)) &gt; 40)
 )
 ,
 AND(
  (ActMinEStart &gt; ActProjTNow)
  ,OR( (FISCALPERIODNUM(ActMinEStart,Project) &lt;&gt; FISCALPERIODNUM(TimePhaseEtcStart,Project))
  ,(ABS(DAYS360(ActMinEStart,TimePhaseEtcStart)) &gt; 40))
 )
)</t>
  </si>
  <si>
    <t>OR(
 OR(
  (FISCALPERIODNUM(EarlyFinish,Project) &lt;&gt; FISCALPERIODNUM(WP_TP_Etc_Finish,Project))
  ,(ABS(DAYS360(EarlyFinish,WP_TP_Etc_Finish)) &gt; 40)
 )
 ,
 AND(
  (EarlyStart &gt; ProjectTimeNow)
  ,OR( (FISCALPERIODNUM(EarlyStart ,Project) &lt;&gt; FISCALPERIODNUM(WP_TP_Etc_Start,Project))
  ,(ABS(DAYS360(EarlyStart ,WP_TP_Etc_Start)) &gt; 40))
 )
)</t>
  </si>
  <si>
    <t>removed</t>
  </si>
  <si>
    <t>This version excludes LOE</t>
  </si>
  <si>
    <t>removed as the new spec calls out LOE</t>
  </si>
  <si>
    <t>Filters:
CA_Not_Complete = 1
ActivityCount &gt; 0
SUM(
 IF(
  ( (ActMinEStart &gt; ActProjTNow) *
    ((FISCALPERIODNUM(ActMinEStart,Project) &lt;&gt; FISCALPERIODNUM(TimePhaseEtcStart,Project))
    + (ABS(DAYS360(ActMinEStart,TimePhaseEtcStart)) &gt; 40)) &gt; 0)
 +
  (((FISCALPERIODNUM(ActMaxEFinish,Project) &lt;&gt; FISCALPERIODNUM(TimePhaseEtcFinish,Project))
    + (ABS(DAYS360(ActMaxEFinish,TimePhaseEtcFinish)) &gt; 40)) &gt; 0)
 ,1,0)
)</t>
  </si>
  <si>
    <t>Filters:
CA_Not_Complete = 1
ActivityCount &gt; 0
automatic</t>
  </si>
  <si>
    <t>Filters:
CA_Not_Complete = 1
ActivityCount &gt; 0
OR(
 OR(
  (FISCALPERIODNUM(ActMaxEFinish,Project) &lt;&gt; FISCALPERIODNUM(TimePhaseEtcFinish,Project))
  ,(ABS(DAYS360(ActMaxEFinish,TimePhaseEtcFinish)) &gt; 40)
 )
 ,
 AND(
  (ActMinEStart &gt; ActProjTNow)
  ,OR( (FISCALPERIODNUM(ActMinEStart,Project) &lt;&gt; FISCALPERIODNUM(TimePhaseEtcStart,Project))
  ,(ABS(DAYS360(ActMinEStart,TimePhaseEtcStart)) &gt; 40))
 )
)</t>
  </si>
  <si>
    <t>OR(
 OR(
  (FISCALPERIODNUM(EarlyFinish,Project) &lt;&gt; FISCALPERIODNUM(CA_TP_Etc_Finish,Project))
  ,(ABS(DAYS360(EarlyFinish,CA_TP_Etc_Finish)) &gt; 40)
 )
 ,
 AND(
  (EarlyStart &gt; ProjectTimeNow)
  ,OR( (FISCALPERIODNUM(EarlyStart ,Project) &lt;&gt; FISCALPERIODNUM(CA_TP_Etc_Start,Project))
  ,(ABS(DAYS360(EarlyStart ,CA_TP_Etc_Start)) &gt; 40))
 )
)</t>
  </si>
  <si>
    <t>27A102b</t>
  </si>
  <si>
    <t>X = Count of sampled incomplete WPs/PPs/SLPPs in the EV Cost Tool where time-phased ETC does not align with forecast dates in the IMS</t>
  </si>
  <si>
    <t>Y = Total count of sampled incomplete WPs/PPs/SLPPs in the EV Cost Tool that are also within the IMS</t>
  </si>
  <si>
    <t>27A103a</t>
  </si>
  <si>
    <t>Do EACs exist at the control account level?</t>
  </si>
  <si>
    <t>X = Count of incomplete CAs with zero, missing, or negative EACs</t>
  </si>
  <si>
    <t>Y = Total count of incomplete CAs</t>
  </si>
  <si>
    <t>Filters: CA_Not_Complete = 1
SUM(
 IF( (Eac &lt; 1) ,1 ,0)
)</t>
  </si>
  <si>
    <t>Filters: CA_Not_Complete = 1
Automatic</t>
  </si>
  <si>
    <t>Filters: CA_Not_Complete = 1
AND( (Eac &lt; 1) )</t>
  </si>
  <si>
    <t>27A104b</t>
  </si>
  <si>
    <t>Are ETCs generated for completed WPs?</t>
  </si>
  <si>
    <t>X = Sum ETC value of completed WPs with ETC</t>
  </si>
  <si>
    <t>Filters: 
SUM(
 IF(BcwpCumulative = Bac ,ETC ,0)
)</t>
  </si>
  <si>
    <t>Filters: 
AND(
 (BcwpCumulative = Bac) * (Etc &gt; 0) 
)</t>
  </si>
  <si>
    <t>27A105a</t>
  </si>
  <si>
    <r>
      <t>Is ACWP</t>
    </r>
    <r>
      <rPr>
        <vertAlign val="subscript"/>
        <sz val="12"/>
        <rFont val="Calibri"/>
        <family val="2"/>
        <scheme val="minor"/>
      </rPr>
      <t>CUM</t>
    </r>
    <r>
      <rPr>
        <sz val="12"/>
        <rFont val="Calibri"/>
        <family val="2"/>
        <scheme val="minor"/>
      </rPr>
      <t xml:space="preserve"> greater than EAC?  </t>
    </r>
  </si>
  <si>
    <t xml:space="preserve">X = Count of CAs/WPs where ACWPCUM &gt; EAC  
</t>
  </si>
  <si>
    <t>Y = Total count of CAs/WPs</t>
  </si>
  <si>
    <t>X/Y ≤ 0%</t>
  </si>
  <si>
    <t>Use when actuals are collected at the WP level</t>
  </si>
  <si>
    <t>SUM(
 IF( (Round(AcwpCumulative, WP_RL) - Round(Eac, WP_RL)) &gt; 100, 1, 0)
)</t>
  </si>
  <si>
    <t>AND(
 (Round(AcwpCumulative, WP_RL) - Round(Eac, WP_RL)) &gt; 100
)</t>
  </si>
  <si>
    <t>Use when actuals are collected at the CA level</t>
  </si>
  <si>
    <t>27A106a</t>
  </si>
  <si>
    <t xml:space="preserve">Do EACs consider performance to date?  </t>
  </si>
  <si>
    <t>X = Count of CAs that are ≥ 15% and ≤ 95% complete where |TCPIEAC – CPICUM| &gt; 0.1</t>
  </si>
  <si>
    <t>Y = Total count of CAs that are ≥ 15% and ≤ 95% complete</t>
  </si>
  <si>
    <t>X/Y &lt; 25%</t>
  </si>
  <si>
    <t>Filters: 
CA_Progress_15_95 = 1
ACWP Cumulative ≠ 0
SUM(IF(
 ABS(CA_TCPIeac - CA_CPIcum) &gt; 0.1
 , 1
 , 0)
)              + N("now uses calculated fields")</t>
  </si>
  <si>
    <t>Filters: 
CA_Progress_15_95 = 1
ACWP Cumulative ≠ 0
Automatic</t>
  </si>
  <si>
    <t xml:space="preserve">Filters: 
CA_Progress_15_95 = 1
ACWP Cumulative ≠ 0
IF(
 ABS(CA_TCPIeac - CA_CPIcum) &gt; 0.1 , TRUE , FALSE
)
</t>
  </si>
  <si>
    <t>27A203a</t>
  </si>
  <si>
    <t>Is the latest information related to direct/indirect rates used for development of ETCs?</t>
  </si>
  <si>
    <t>X = Count of sampled incomplete WPs from the EV Cost Tool where direct and indirect rates are not applied correctly to the ETC</t>
  </si>
  <si>
    <t>Y = Total count of sampled incomplete WPs</t>
  </si>
  <si>
    <t>_27A203a_X</t>
  </si>
  <si>
    <t>IF(_27A203a_Y &lt; 0, -0.01, 
 if((_27A203a_Y &gt; 0),(_27A203a_X / _27A203a_Y),0)
)</t>
  </si>
  <si>
    <t>27A401a</t>
  </si>
  <si>
    <t>Is the program EAC substantiated from the risk and opportunity management process and/or the Program Manager’s assessment?</t>
  </si>
  <si>
    <t>X = Occurrence of a program EAC not substantiated with risks/opportunities and/or Program Manager’s assessment per the system description and risk management process</t>
  </si>
  <si>
    <t>IF(_27A401a_X &lt; 0, -1, _27A401a_X)</t>
  </si>
  <si>
    <t>27I101a</t>
  </si>
  <si>
    <t>Are ETCs generated for WPs/PPs/SLPPs?</t>
  </si>
  <si>
    <t>X = Count of incomplete WPs/PPs/SLPPs with BAC &gt; 0 and ETC ≤ 0</t>
  </si>
  <si>
    <t>Y = Total count of incomplete WPs/PPs/SLPPs with BAC &gt; 0</t>
  </si>
  <si>
    <t>for WP/PP
Added new calculated field to filter LOE and Discrete according to new assumption</t>
  </si>
  <si>
    <t>Filters: WP_Not_Complete_Discrete_LOE = 1
SUM(
 IF( (Round(Etc, WP_RL) &lt;= 0) * (Round(Bac, WP_RL) &gt; 0 ) ,1 ,0)
)</t>
  </si>
  <si>
    <t>Filters: WP_Not_Complete_Discrete_LOE = 1
SUM(
 IF( (Round(Etc, WP_RL) &lt;= 0) * (Round(Bac, WP_RL) &gt; 0 ) ,1 ,0)
)
/
SUM(
 IF( (Round(Bac, WP_RL) &gt; 0 ) ,1 ,0)
)</t>
  </si>
  <si>
    <t>Filters: WP_Not_Complete_Discrete_LOE = 1
AND(
 (Round(Etc, WP_RL) &lt;= 0) , (Round(Bac, WP_RL) &gt; 0 ) 
)</t>
  </si>
  <si>
    <t>Filters: CA_Not_Complete = 1
SUM(
 IF( (Round(Etc, WP_RL) &lt;= 0) * (Round(Bac, WP_RL) &gt; 0 ) ,1 ,0)
)</t>
  </si>
  <si>
    <t>Filters: CA_Not_Complete = 1
SUM(
 IF( (Round(Etc, WP_RL) &lt;= 0) * (Round(Bac, WP_RL) &gt; 0 ) ,1 ,0)
)
/
SUM(
 IF( (Round(Bac, WP_RL) &gt; 0 ) ,1 ,0)
)</t>
  </si>
  <si>
    <t>Filters: CA_Not_Complete = 1
AND(
 (Round(Etc, WP_RL) &lt;= 0) , (Round(Bac, WP_RL) &gt; 0 ) 
)</t>
  </si>
  <si>
    <t>27I201a</t>
  </si>
  <si>
    <t>Are EACs reviewed and updated as needed for UB and SLPPs?</t>
  </si>
  <si>
    <t>X = Count of UB and SLPPs where BAC ≠ EAC or EAC is negative</t>
  </si>
  <si>
    <t>UB does not have an EAC of it's own</t>
  </si>
  <si>
    <t>SUM( IF(
  ( (Round(Eac, WP_RL) &lt;&gt; Round(BAC, WP_RL)) + (Round(Eac, WP_RL) &lt; 0) ) &gt; 0
  ,1 ,0
) )
+N("You need to create a filter to identify SLPPs")</t>
  </si>
  <si>
    <t xml:space="preserve">OR(
 (Round(Eac, WP_RL) &lt; 0)
 ,
 (Round(Eac, WP_RL) &lt;&gt; Round(BAC, WP_RL))
 )
</t>
  </si>
  <si>
    <t>Guideline 28</t>
  </si>
  <si>
    <t>Incorporate authorized changes in a timely manner, recording the effects of such changes in the budgets and schedules. In the directed effort prior to negotiation of a change, base such revisions on the amount estimated and budgeted to the program organizations.</t>
  </si>
  <si>
    <t>28A101a</t>
  </si>
  <si>
    <t>Are authorized work scope/budget changes incorporated into the PMB as soon as practicable?</t>
  </si>
  <si>
    <t>X = Count of sampled contract modifications that were not incorporated into the PMB in a timely manner in accordance with the system description</t>
  </si>
  <si>
    <t>Y = Total count of sampled contract modifications</t>
  </si>
  <si>
    <t xml:space="preserve"> X/Y &lt; 10%</t>
  </si>
  <si>
    <t>_28A101a_X</t>
  </si>
  <si>
    <t>IF(_28A101a_Y &lt; 0, -0.01, 
 if((_28A101a_Y &gt; 0),(_28A101a_X / _28A101a_Y),0)
)</t>
  </si>
  <si>
    <t>28A201a</t>
  </si>
  <si>
    <t xml:space="preserve">Is UB distributed in a timely manner? </t>
  </si>
  <si>
    <t>X = Dollar value of UB samples not distributed within the timeframe specified in the SD</t>
  </si>
  <si>
    <t>Y = Total UB dollar value of sampled contract mods or baseline change requests</t>
  </si>
  <si>
    <t>_28A201a_X</t>
  </si>
  <si>
    <t>IF(_28A201a_Y &lt; 0, -0.01, 
 if((_28A201a_Y &gt; 0),(_28A201a_X / _28A201a_Y),0)
)</t>
  </si>
  <si>
    <t>Guideline 29</t>
  </si>
  <si>
    <t>Reconcile current budgets to prior budgets in terms of changes to the authorized work and internal replanning in the detail needed by management for effective control.</t>
  </si>
  <si>
    <t>29A101a</t>
  </si>
  <si>
    <t>Do current budgets reconcile to prior budgets through the documented changes?</t>
  </si>
  <si>
    <t>X = Count of sampled CAs where prior period CA BAC does not reconcile with current period CA BAC through change documentation</t>
  </si>
  <si>
    <t>Y = Total count of sampled CAs with budget changes within the past 12 months</t>
  </si>
  <si>
    <t>_29A101a_X</t>
  </si>
  <si>
    <t>IF(_29A101a_Y &lt; 0, -0.01, 
 if((_29A101a_Y &gt; 0),(_29A101a_X / _29A101a_Y),0)
)</t>
  </si>
  <si>
    <t>29A201a</t>
  </si>
  <si>
    <t>Do MR values in customer reports and budget logs match?</t>
  </si>
  <si>
    <t xml:space="preserve">X = |Format 1 MR - Budget Log MR|
</t>
  </si>
  <si>
    <t>Y = Format 1 MR</t>
  </si>
  <si>
    <t xml:space="preserve">X/Y = 0%
</t>
  </si>
  <si>
    <t>_29A201a_X</t>
  </si>
  <si>
    <t>IF(_29A201a_Y &lt; 0, -0.01, 
 if((_29A201a_Y &gt; 0),(_29A201a_X / _29A201a_Y),0)
)</t>
  </si>
  <si>
    <t>29A201b</t>
  </si>
  <si>
    <t>Do UB values in customer reports and budget logs match?</t>
  </si>
  <si>
    <t>X = | Format 1 UB - Budget Log UB |</t>
  </si>
  <si>
    <t>Y = Format 1 UB</t>
  </si>
  <si>
    <t>_29A201b_X</t>
  </si>
  <si>
    <t>IF(_29A201b_Y &lt; 0, -0.01, 
 if((_29A201b_Y &gt; 0),(_29A201b_X / _29A201b_Y),0)
)</t>
  </si>
  <si>
    <t>29A202a</t>
  </si>
  <si>
    <t>Are all MR transactions processed for purposes authorized by the system description?</t>
  </si>
  <si>
    <t>X = Count of sampled MR transactions processed for purposes not authorized by the system description</t>
  </si>
  <si>
    <t>IF(_29A202a_X &lt; 0, -1, _29A202a_X)</t>
  </si>
  <si>
    <t>29A203a</t>
  </si>
  <si>
    <t>Are all UB transactions processed for purposes authorized by the system description?</t>
  </si>
  <si>
    <t>X = Count of sampled UB transactions processed for purposes not authorized by the system description</t>
  </si>
  <si>
    <t>IF(_29A203a_X &lt; 0, -1, _29A203a_X)</t>
  </si>
  <si>
    <t>29A204a</t>
  </si>
  <si>
    <t xml:space="preserve">Are MR transactions accurately tracked? </t>
  </si>
  <si>
    <t>X = | (Previous period MR + sum (current period MR changes)) - current period MR |</t>
  </si>
  <si>
    <t>Y = Current period MR</t>
  </si>
  <si>
    <t>_29A204a_X</t>
  </si>
  <si>
    <t>IF(_29A204a_Y &lt; 0, -0.01, 
 if((_29A204a_Y &gt; 0),(_29A204a_X / _29A204a_Y),0)
)</t>
  </si>
  <si>
    <t>29A205a</t>
  </si>
  <si>
    <t xml:space="preserve">Are UB transactions accurately tracked? </t>
  </si>
  <si>
    <t>X = | (Previous period UB + sum (current period UB changes)) - current period UB |</t>
  </si>
  <si>
    <t>Y = Current period UB</t>
  </si>
  <si>
    <t>_29A205a_X</t>
  </si>
  <si>
    <t>IF(_29A205a_Y &lt; 0, -0.01, 
 if((_29A205a_Y &gt; 0),(_29A205a_X / _29A205a_Y),0)
)</t>
  </si>
  <si>
    <t>29A401a</t>
  </si>
  <si>
    <t xml:space="preserve">Are there changes to open WPs? </t>
  </si>
  <si>
    <t>X = Count of prior period open WPs where current month BAC ≠ previous month BAC</t>
  </si>
  <si>
    <t>Filters: 
WP_Not_Complete_Discrete_LOE_Previous = 1
WP_IS_OPEN_Previous = 1
SUM(IF(
 (ABS(Round(Bac - PreviousBac, WP_RL)) &gt; 100)
 , PreviousBac
 , 0)
)</t>
  </si>
  <si>
    <t>Filters:
WP_Not_Complete_Discrete_LOE_Previous = 1
WP_IS_OPEN_Previous = 1
AND(
 (ABS(Round(Bac - PreviousBac, WP_RL)) &gt; 100)
)</t>
  </si>
  <si>
    <t>29A501a</t>
  </si>
  <si>
    <t>Are PMB changes being controlled in the freeze period per the system description?</t>
  </si>
  <si>
    <t>X = Count of sampled PMB changes that are within the freeze period which do not meet the allowable System Description exceptions</t>
  </si>
  <si>
    <t>IF(_29A501a_X &lt; 0, -1, _29A501a_X)</t>
  </si>
  <si>
    <t>29A501b</t>
  </si>
  <si>
    <t>Are changes being controlled in the freeze period per the system description?</t>
  </si>
  <si>
    <r>
      <t>X = Sum of |(Format 3 beginning of period BCWS) – (Format 1 BCWS</t>
    </r>
    <r>
      <rPr>
        <vertAlign val="subscript"/>
        <sz val="12"/>
        <rFont val="Calibri"/>
        <family val="2"/>
        <scheme val="minor"/>
      </rPr>
      <t>CUR</t>
    </r>
    <r>
      <rPr>
        <sz val="12"/>
        <rFont val="Calibri"/>
        <family val="2"/>
        <scheme val="minor"/>
      </rPr>
      <t>)| for the last 6 reporting periods</t>
    </r>
  </si>
  <si>
    <r>
      <t>Y = Sum of BCWS</t>
    </r>
    <r>
      <rPr>
        <vertAlign val="subscript"/>
        <sz val="12"/>
        <rFont val="Calibri"/>
        <family val="2"/>
        <scheme val="minor"/>
      </rPr>
      <t>CUR</t>
    </r>
    <r>
      <rPr>
        <sz val="12"/>
        <rFont val="Calibri"/>
        <family val="2"/>
        <scheme val="minor"/>
      </rPr>
      <t xml:space="preserve"> for the last 6 reporting periods</t>
    </r>
  </si>
  <si>
    <t>_29A501b_X</t>
  </si>
  <si>
    <t>IF(_29A501b_Y &lt; 0, -0.01, 
 if((_29A501b_Y &gt; 0),(_29A501b_X / _29A501b_Y),0)
)</t>
  </si>
  <si>
    <t>29A601a</t>
  </si>
  <si>
    <t>Is all effort detailed planned within the current rolling wave/freeze period?</t>
  </si>
  <si>
    <t>X = Count of PPs/SLPPs where baseline start precedes the next rolling wave cycle</t>
  </si>
  <si>
    <t>Y = Total count of PPs/SLPPs</t>
  </si>
  <si>
    <t>Includes only PP
Filters:
BAC &gt; 0
IF( ISNUMBER(_27A106a_Rolling_Wave_Start)
   , SUM(IF(FISCALPERIODNUM(TimePhaseBcwsStart,Project) &lt; _27A106a_Rolling_Wave_Start
        , 1, 0))
  , -1)</t>
  </si>
  <si>
    <t>Includes only PP
Filters:
BAC &gt; 0
IF( ISNUMBER(_27A106a_Rolling_Wave_Start)
   , SUM(IF(FISCALPERIODNUM(TimePhaseBcwsStart,Project) &lt; _27A106a_Rolling_Wave_Start
        , 1, 0)) / SUM(1)
  , -0.01)</t>
  </si>
  <si>
    <t>Includes only PP
Filters:
BAC &gt; 0
AND(
 (FISCALPERIODNUM(TimePhaseBcwsStart,Project) &lt; _27A106a_Rolling_Wave_Start)
 ,
 ISNUMBER(_27A106a_Rolling_Wave_Start)
)</t>
  </si>
  <si>
    <t xml:space="preserve">client needs to filter to SLPPs only based on how they identify them
Filters:
BAC &gt; 0
IF( ISNUMBER(_27A106a_Rolling_Wave_Start)
   , SUM(
      IF( FISCALPERIODNUM(TimePhaseBcwsStart,Project) &lt; 
            FISCALPERIODNUM(_27A106a_Rolling_Wave_Start,Project)
        , 1, 0)
     )
  , -1)
</t>
  </si>
  <si>
    <t>client needs to filter to SLPPs only based on how they identify them
Filters:
BAC &gt; 0
IF( ISNUMBER(_27A106a_Rolling_Wave_Start)
   , SUM(IF(FISCALPERIODNUM(TimePhaseBcwsStart,Project) &lt; FISCALPERIODNUM(_27A106a_Rolling_Wave_Start,Project)
        , 1, 0))
     /
     SUM(IF(ID &lt;&gt; " ", 1,0))
  , -0.01)</t>
  </si>
  <si>
    <t>client needs to filter to SLPPs only based on how they identify them
Filters:
BAC &gt; 0
AND(
 (FISCALPERIODNUM(TimePhaseBcwsStart,Project) &lt; FISCALPERIODNUM(_27A106a_Rolling_Wave_Start,Project))
 ,
 ISNUMBER(_27A106a_Rolling_Wave_Start)
)</t>
  </si>
  <si>
    <t>29I401a</t>
  </si>
  <si>
    <t>Are baseline dates being updated to mask legitimate variances?</t>
  </si>
  <si>
    <t>X = Count of sampled baseline date changes without substantiation</t>
  </si>
  <si>
    <t>IF(_29I401a_X &lt; 0, -1, _29I401a_X)</t>
  </si>
  <si>
    <t>29I402a</t>
  </si>
  <si>
    <t>Are budgets for LOE effort based on a sound basis of estimate and time-phased to properly reflect when the work will be accomplished?</t>
  </si>
  <si>
    <t>X = Count of LOE CAs/WPs where the first ACWP was 3 reporting periods or more before the first BCWS</t>
  </si>
  <si>
    <t>Y = Total count of LOE CAs/WPs</t>
  </si>
  <si>
    <t>If ACWP can be assesed at the WP Level
CAs do not have EVT so cannot be LOE
Using new calculated fields to determine fiscal period differences</t>
  </si>
  <si>
    <t>Filters:
PerformanceMethod = LevelOfEffort
BAC &gt; 0
SUM(
 IF( (WP_ACWPS_BCWSS &gt; 2) , 1, 0)
)</t>
  </si>
  <si>
    <t>Filters:
PerformanceMethod = LevelOfEffort
BAC &gt; 0
Automatic</t>
  </si>
  <si>
    <t>Filters:
PerformanceMethod = LevelOfEffort
BAC &gt; 0
AND(
 (WP_ACWPS_BCWSS &gt; 2)
)</t>
  </si>
  <si>
    <t>29I402b</t>
  </si>
  <si>
    <t>X = Count of LOE CAs/WPs where the first BCWS was 3 reporting periods or more before the first ACWP</t>
  </si>
  <si>
    <t>Filters:
PerformanceMethod = LevelOfEffort
BAC &gt; 0
SUM(
 IF( (WP_BCWSS_ACWPS &gt; 2) , 1, 0)
)</t>
  </si>
  <si>
    <t>Filters:
PerformanceMethod = LevelOfEffort
BAC &gt; 0
AND(
 (WP_BCWSS_ACWPS &gt; 2)
)</t>
  </si>
  <si>
    <t>29I402c</t>
  </si>
  <si>
    <t>X = Count of LOE CAs/WPs where the last ACWP was 3 reporting periods or more before the last BCWS</t>
  </si>
  <si>
    <t>Filters:
PerformanceMethod = LevelOfEffort
BAC &gt; 0
SUM(
 IF( (WP_ACWPF_BCWSF &gt; 2) , 1, 0)
)</t>
  </si>
  <si>
    <t>Filters:
PerformanceMethod = LevelOfEffort
BAC &gt; 0
AND(
 (WP_ACWPF_BCWSF &gt; 2)
)</t>
  </si>
  <si>
    <t>29I402d</t>
  </si>
  <si>
    <t xml:space="preserve">X = Count of LOE CAs/WPs where the last BCWS was 3 reporting periods or more before the last ACWP
</t>
  </si>
  <si>
    <t>Filters:
PerformanceMethod = LevelOfEffort
BAC &gt; 0
SUM(
 IF( (WP_BCWSF_ACWPF &gt; 2) , 1, 0)
)</t>
  </si>
  <si>
    <t>Filters:
PerformanceMethod = LevelOfEffort
BAC &gt; 0
AND(
 (WP_BCWSF_ACWPF &gt; 2)
)</t>
  </si>
  <si>
    <t>Guideline 30</t>
  </si>
  <si>
    <t>Control retroactive changes to records pertaining to work performed that would change previously reported amounts for actual costs, earned value, or budgets. Adjustments should be made only for correction of errors, routine accounting adjustments, effects of customer or management directed changes, or to improve the baseline integrity and accuracy of performance measurement data.</t>
  </si>
  <si>
    <t>30A101d</t>
  </si>
  <si>
    <t>Are retroactive changes being made to cumulative BCWS?</t>
  </si>
  <si>
    <t>X = Sum of BCWSCUM for WPs where (reporting period BCWSCUM - reporting period BCWSCUR) ≠ prior reporting period BCWSCUM</t>
  </si>
  <si>
    <t>Y = Total BCWSCUM for all WPs</t>
  </si>
  <si>
    <t>Filter: BCWS Cumulative &lt;&gt; 0
SUM(IF(
 ((Round((BcwsCumulative - BcwsCurrent), WP_RL))&lt;&gt; Round(PreviousBcwsCum, WP_RL))
 , BcwsCumulative
 , 0)
)</t>
  </si>
  <si>
    <t>Filter: BCWS Cumulative &lt;&gt; 0
SUM(IF(
 ((Round((BcwsCumulative - BcwsCurrent), WP_RL))&lt;&gt; Round(PreviousBcwsCum, WP_RL))
 , BcwsCumulative
 , 0))
/
SUM(BcwsCumulative)</t>
  </si>
  <si>
    <t xml:space="preserve">Filter: BCWS Cumulative &lt;&gt; 0
AND(
 ((Round((BcwsCumulative - BcwsCurrent), WP_RL))&lt;&gt; Round(PreviousBcwsCum, WP_RL))
)
</t>
  </si>
  <si>
    <t>30A101e</t>
  </si>
  <si>
    <t>Are retroactive changes being made to cumulative BCWP?</t>
  </si>
  <si>
    <t>X = Sum of BCWPCUM for all WPs where (reporting period BCWPCUM - reporting period BCWPCUR) ≠ prior reporting period BCWPCUM</t>
  </si>
  <si>
    <t>Y = Total BCWPCUM for all WPs</t>
  </si>
  <si>
    <t xml:space="preserve">Filter: BCWP Cumulative &lt;&gt; 0
SUM(IF(
 (Round((BcwpCumulative - BcwpCurrent), WP_RL) &lt;&gt; Round(PreviousBcwpCum, WP_RL))
 , BcwpCumulative, 0)
)
</t>
  </si>
  <si>
    <t>Filter: BCWP Cumulative &lt;&gt; 0
SUM(IF(
 (Round((BcwpCumulative - BcwpCurrent), WP_RL) &lt;&gt; Round(PreviousBcwpCum, WP_RL))
 , BcwpCumulative, 0)
)
/
SUM(BcwpCumulative)</t>
  </si>
  <si>
    <t xml:space="preserve">Filter: BCWP Cumulative &lt;&gt; 0
AND(
 (Round((BcwpCumulative - BcwpCurrent), WP_RL) &lt;&gt; Round(PreviousBcwpCum, WP_RL))
)
</t>
  </si>
  <si>
    <t>30A101f</t>
  </si>
  <si>
    <t>Are retroactive changes being made to cum ACWP?</t>
  </si>
  <si>
    <t xml:space="preserve">X = Sum ACWPCUM for all CAs/WPs where (reporting period ACWPCUM - reporting period ACWPCUR) ≠ prior period ACWPCUM  </t>
  </si>
  <si>
    <t>Y = Total ACWPCUM for all CAs/WPs</t>
  </si>
  <si>
    <t>Using new calculated field in the filter which rounds the ACWP Cum</t>
  </si>
  <si>
    <t>Filter: WP_Acwp_Cum_Rounded &lt;&gt; 0
SUM(IF(
 ABS(Round((AcwpCumulative - AcwpCurrent), WP_RL) - Round(PreviousAcwpCum, WP_RL)) &gt; 100
 , AcwpCumulative
 , 0)
)</t>
  </si>
  <si>
    <t>Filter: WP_Acwp_Cum_Rounded &lt;&gt; 0
SUM(IF(
 ABS(Round((AcwpCumulative - AcwpCurrent), WP_RL) - Round(PreviousAcwpCum, WP_RL)) &gt; 100
 , AcwpCumulative, 0)
)
/
SUM(AcwpCumulative)</t>
  </si>
  <si>
    <t xml:space="preserve">Filter: WP_Acwp_Cum_Rounded &lt;&gt; 0
AND(
 ABS(Round((AcwpCumulative - AcwpCurrent), WP_RL) - Round(PreviousAcwpCum, WP_RL)) &gt; 100
)
</t>
  </si>
  <si>
    <t>Filter: CA_Acwp_Cum_Rounded &lt;&gt; 0
SUM(IF(
 ABS(Round((AcwpCumulative - AcwpCurrent), WP_RL) - Round(PreviousAcwpCum, WP_RL)) &gt; 100
 , AcwpCumulative
 , 0)
)</t>
  </si>
  <si>
    <t>Filter: CA_Acwp_Cum_Rounded &lt;&gt; 0
SUM(IF(
 ABS(Round((AcwpCumulative - AcwpCurrent), WP_RL) - Round(PreviousAcwpCum, WP_RL)) &gt; 100
 , AcwpCumulative, 0)
)
/
SUM(AcwpCumulative)</t>
  </si>
  <si>
    <t xml:space="preserve">Filter: CA_Acwp_Cum_Rounded &lt;&gt; 0
AND(
 ABS(Round((AcwpCumulative - AcwpCurrent), WP_RL) - Round(PreviousAcwpCum, WP_RL)) &gt; 100
)
</t>
  </si>
  <si>
    <t>Guideline 31</t>
  </si>
  <si>
    <t>Prevent revisions to the program budget except for authorized changes.</t>
  </si>
  <si>
    <t>31A101a</t>
  </si>
  <si>
    <t>Do all CBB or TAB changes in the baseline control log have approved contractual documentation prior to incorporation?</t>
  </si>
  <si>
    <t>X = Count of sampled CBB/TAB changes that do not have contractual authorization prior to incorporation</t>
  </si>
  <si>
    <t>Y = Total count of sampled CBB/TAB changes</t>
  </si>
  <si>
    <t>_31A101a_X</t>
  </si>
  <si>
    <t>IF(_31A101a_Y &lt; 0, -0.01, 
 if((_31A101a_Y &gt; 0),(_31A101a_X / _31A101a_Y),0)
)</t>
  </si>
  <si>
    <t>Guideline 32</t>
  </si>
  <si>
    <t>Document changes to the performance measurement baseline.</t>
  </si>
  <si>
    <t>32A101a</t>
  </si>
  <si>
    <t>Do the authorized budget changes in the baseline change log trace to IPMR/CPR Format 3?</t>
  </si>
  <si>
    <t>X = |Net change in PMB from baseline change log - Net change in PMB from Format 3| for the selected reporting period</t>
  </si>
  <si>
    <t>Y = |Net change in PMB from baseline change log for the selected reporting period|</t>
  </si>
  <si>
    <t>_32A101a_X</t>
  </si>
  <si>
    <t>IF(_32A101a_Y &lt; 0, -0.01, 
 if((_32A101a_Y &gt; 0),(_32A101a_X / _32A101a_Y),0)
)</t>
  </si>
  <si>
    <t>32A101b</t>
  </si>
  <si>
    <t>Do the authorized budget changes in the change logs trace to the baseline change documentation?</t>
  </si>
  <si>
    <t>X = Sum of the budget change values from sampled baseline log changes that do not trace to the baseline change documentation IAW contractor procedures</t>
  </si>
  <si>
    <t>Y = Total sum of the sampled budget change values from the baseline change log</t>
  </si>
  <si>
    <t>_32A101b_X</t>
  </si>
  <si>
    <t>IF(_32A101b_Y &lt; 0, -0.01, 
 if((_32A101b_Y &gt; 0),(_32A101b_X / _32A101b_Y),0)
)</t>
  </si>
  <si>
    <t>32A102a</t>
  </si>
  <si>
    <t>Does the IMS incorporate the latest authorized changes?</t>
  </si>
  <si>
    <t>X = Count of sampled baseline change documents where either the baseline start or baseline finish date has been incorrectly incorporated into the IMS</t>
  </si>
  <si>
    <t>Y = Total count of sampled baseline change documents</t>
  </si>
  <si>
    <t>_32A102a_X</t>
  </si>
  <si>
    <t>IF(_32A102a_Y &lt; 0, -0.01, 
 if((_32A102a_Y &gt; 0),(_32A102a_X / _32A102a_Y),0)
)</t>
  </si>
  <si>
    <t>32A104a</t>
  </si>
  <si>
    <t xml:space="preserve">Does the baseline change documentation provide substantiation for the change?   </t>
  </si>
  <si>
    <t>X = Count of sampled baseline change documents without substantiation</t>
  </si>
  <si>
    <t>IF(_32A104a_X &lt; 0, -1, _32A104a_X)</t>
  </si>
  <si>
    <t>Unique Test Metric ID</t>
  </si>
  <si>
    <t>Attribute ID</t>
  </si>
  <si>
    <t>Status</t>
  </si>
  <si>
    <t>Test Metric Rev Date</t>
  </si>
  <si>
    <t>Test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</si>
</sst>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409]d\-mmm\-yy;@"/>
  </numFmts>
  <fonts count="2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sz val="12"/>
      <name val="Calibri"/>
      <family val="2"/>
      <scheme val="minor"/>
    </font>
    <font>
      <sz val="12"/>
      <color rgb="FFFF0000"/>
      <name val="Calibri"/>
      <family val="2"/>
      <scheme val="minor"/>
    </font>
    <font>
      <b/>
      <sz val="12"/>
      <name val="Calibri"/>
      <family val="2"/>
      <scheme val="minor"/>
    </font>
    <font>
      <b/>
      <sz val="11"/>
      <color rgb="FFFF0000"/>
      <name val="Calibri"/>
      <family val="2"/>
      <scheme val="minor"/>
    </font>
    <font>
      <vertAlign val="subscript"/>
      <sz val="12"/>
      <name val="Calibri"/>
      <family val="2"/>
      <scheme val="minor"/>
    </font>
    <font>
      <sz val="12"/>
      <name val="Calibri"/>
      <family val="2"/>
    </font>
    <font>
      <sz val="10"/>
      <color indexed="8"/>
      <name val="Arial"/>
      <family val="2"/>
    </font>
    <font>
      <sz val="10"/>
      <name val="Arial"/>
      <family val="2"/>
    </font>
    <font>
      <sz val="10"/>
      <name val="MS Sans Serif"/>
      <family val="2"/>
    </font>
    <font>
      <sz val="10"/>
      <color theme="1"/>
      <name val="Arial"/>
      <family val="2"/>
    </font>
    <font>
      <sz val="11"/>
      <color indexed="8"/>
      <name val="Calibri"/>
      <family val="2"/>
    </font>
    <font>
      <u/>
      <sz val="5.4"/>
      <color indexed="12"/>
      <name val="Calibri"/>
      <family val="2"/>
    </font>
    <font>
      <u/>
      <sz val="11"/>
      <color theme="10"/>
      <name val="Calibri"/>
      <family val="2"/>
    </font>
    <font>
      <sz val="8"/>
      <name val="Arial"/>
      <family val="2"/>
    </font>
    <font>
      <b/>
      <sz val="11"/>
      <name val="Calibri"/>
      <family val="2"/>
      <scheme val="minor"/>
    </font>
    <font>
      <sz val="9.6"/>
      <name val="Calibri"/>
      <family val="2"/>
    </font>
    <font>
      <u/>
      <sz val="12"/>
      <name val="Calibri"/>
      <family val="2"/>
      <scheme val="minor"/>
    </font>
    <font>
      <b/>
      <sz val="20"/>
      <name val="Calibri"/>
      <family val="2"/>
      <scheme val="minor"/>
    </font>
  </fonts>
  <fills count="9">
    <fill>
      <patternFill patternType="none"/>
    </fill>
    <fill>
      <patternFill patternType="gray125"/>
    </fill>
    <fill>
      <patternFill patternType="solid">
        <fgColor rgb="FFFFFFCC"/>
      </patternFill>
    </fill>
    <fill>
      <patternFill patternType="solid">
        <fgColor theme="0" tint="-0.14999847407452621"/>
        <bgColor indexed="64"/>
      </patternFill>
    </fill>
    <fill>
      <patternFill patternType="solid">
        <fgColor indexed="36"/>
      </patternFill>
    </fill>
    <fill>
      <patternFill patternType="solid">
        <fgColor theme="3"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6" tint="0.79998168889431442"/>
        <bgColor indexed="64"/>
      </patternFill>
    </fill>
  </fills>
  <borders count="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s>
  <cellStyleXfs count="115">
    <xf numFmtId="0" fontId="0" fillId="0" borderId="0"/>
    <xf numFmtId="0" fontId="4" fillId="4" borderId="0" applyNumberFormat="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43" fontId="13" fillId="0" borderId="0" applyFont="0" applyFill="0" applyBorder="0" applyAlignment="0" applyProtection="0"/>
    <xf numFmtId="43" fontId="14" fillId="0" borderId="0" applyFont="0" applyFill="0" applyBorder="0" applyAlignment="0" applyProtection="0"/>
    <xf numFmtId="43" fontId="16" fillId="0" borderId="0" applyFont="0" applyFill="0" applyBorder="0" applyAlignment="0" applyProtection="0"/>
    <xf numFmtId="43" fontId="13"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4" fontId="16" fillId="0" borderId="0" applyFont="0" applyFill="0" applyBorder="0" applyAlignment="0" applyProtection="0"/>
    <xf numFmtId="44" fontId="12" fillId="0" borderId="0" applyFont="0" applyFill="0" applyBorder="0" applyAlignment="0" applyProtection="0"/>
    <xf numFmtId="44" fontId="14" fillId="0" borderId="0" applyFont="0" applyFill="0" applyBorder="0" applyAlignment="0" applyProtection="0"/>
    <xf numFmtId="44" fontId="13" fillId="0" borderId="0" applyFont="0" applyFill="0" applyBorder="0" applyAlignment="0" applyProtection="0"/>
    <xf numFmtId="44" fontId="12"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5"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2"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0" fontId="17"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2" fillId="0" borderId="0"/>
    <xf numFmtId="0" fontId="19" fillId="0" borderId="0"/>
    <xf numFmtId="0" fontId="14" fillId="0" borderId="0"/>
    <xf numFmtId="0" fontId="14" fillId="0" borderId="0"/>
    <xf numFmtId="0" fontId="13" fillId="0" borderId="0"/>
    <xf numFmtId="0" fontId="1" fillId="0" borderId="0"/>
    <xf numFmtId="0" fontId="15" fillId="0" borderId="0"/>
    <xf numFmtId="0" fontId="1" fillId="0" borderId="0"/>
    <xf numFmtId="0" fontId="1" fillId="0" borderId="0"/>
    <xf numFmtId="0" fontId="1" fillId="0" borderId="0"/>
    <xf numFmtId="0" fontId="1" fillId="0" borderId="0"/>
    <xf numFmtId="0" fontId="13" fillId="0" borderId="0"/>
    <xf numFmtId="0" fontId="1" fillId="0" borderId="0"/>
    <xf numFmtId="0" fontId="13" fillId="0" borderId="0"/>
    <xf numFmtId="0" fontId="12" fillId="0" borderId="0"/>
    <xf numFmtId="0" fontId="12" fillId="0" borderId="0"/>
    <xf numFmtId="0" fontId="12" fillId="0" borderId="0"/>
    <xf numFmtId="0" fontId="12" fillId="0" borderId="0"/>
    <xf numFmtId="0" fontId="14" fillId="0" borderId="0"/>
    <xf numFmtId="0" fontId="1" fillId="0" borderId="0"/>
    <xf numFmtId="0" fontId="13" fillId="0" borderId="0"/>
    <xf numFmtId="0" fontId="12" fillId="0" borderId="0"/>
    <xf numFmtId="0" fontId="15" fillId="0" borderId="0"/>
    <xf numFmtId="0" fontId="13" fillId="0" borderId="0"/>
    <xf numFmtId="0" fontId="14"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xf numFmtId="0" fontId="1" fillId="0" borderId="0"/>
    <xf numFmtId="0" fontId="15" fillId="0" borderId="0"/>
    <xf numFmtId="0" fontId="13" fillId="0" borderId="0"/>
    <xf numFmtId="0" fontId="14" fillId="0" borderId="0"/>
    <xf numFmtId="0" fontId="12" fillId="0" borderId="0"/>
    <xf numFmtId="0" fontId="12" fillId="0" borderId="0"/>
    <xf numFmtId="0" fontId="1" fillId="0" borderId="0"/>
    <xf numFmtId="0" fontId="13" fillId="0" borderId="0"/>
    <xf numFmtId="0" fontId="12" fillId="0" borderId="0"/>
    <xf numFmtId="0" fontId="12" fillId="0" borderId="0"/>
    <xf numFmtId="0" fontId="13" fillId="0" borderId="0"/>
    <xf numFmtId="0" fontId="12" fillId="0" borderId="0"/>
    <xf numFmtId="0" fontId="13" fillId="0" borderId="0"/>
    <xf numFmtId="0" fontId="14" fillId="0" borderId="0"/>
    <xf numFmtId="0" fontId="1" fillId="0" borderId="0"/>
    <xf numFmtId="0" fontId="1" fillId="0" borderId="0"/>
    <xf numFmtId="0" fontId="14" fillId="0" borderId="0"/>
    <xf numFmtId="0" fontId="14" fillId="0" borderId="0"/>
    <xf numFmtId="0" fontId="1" fillId="0" borderId="0"/>
    <xf numFmtId="0" fontId="1" fillId="0" borderId="0"/>
    <xf numFmtId="0" fontId="12" fillId="0" borderId="0"/>
    <xf numFmtId="0" fontId="1" fillId="2" borderId="1" applyNumberFormat="0" applyFont="0" applyAlignment="0" applyProtection="0"/>
    <xf numFmtId="9" fontId="12"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4" fillId="0" borderId="0" applyFont="0" applyFill="0" applyBorder="0" applyAlignment="0" applyProtection="0"/>
  </cellStyleXfs>
  <cellXfs count="66">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top"/>
    </xf>
    <xf numFmtId="0" fontId="6" fillId="0" borderId="0" xfId="0" applyFont="1" applyAlignment="1">
      <alignment horizontal="center" vertical="top" wrapText="1"/>
    </xf>
    <xf numFmtId="0" fontId="6" fillId="0" borderId="0" xfId="0" applyFont="1" applyAlignment="1">
      <alignment horizontal="left" vertical="top" wrapText="1"/>
    </xf>
    <xf numFmtId="16" fontId="6" fillId="0" borderId="0" xfId="0" applyNumberFormat="1" applyFont="1" applyAlignment="1">
      <alignment horizontal="center" vertical="top" wrapText="1"/>
    </xf>
    <xf numFmtId="0" fontId="6" fillId="0" borderId="0" xfId="0" applyFont="1" applyAlignment="1">
      <alignment horizontal="center" vertical="top"/>
    </xf>
    <xf numFmtId="0" fontId="9" fillId="0" borderId="0" xfId="0" applyFont="1" applyAlignment="1">
      <alignment vertical="top"/>
    </xf>
    <xf numFmtId="0" fontId="5" fillId="0" borderId="0" xfId="0" applyFont="1" applyAlignment="1">
      <alignment vertical="top"/>
    </xf>
    <xf numFmtId="0" fontId="0" fillId="0" borderId="0" xfId="0" applyAlignment="1">
      <alignment horizontal="left" vertical="top"/>
    </xf>
    <xf numFmtId="0" fontId="2" fillId="0" borderId="0" xfId="0" applyFont="1" applyAlignment="1">
      <alignment vertical="top"/>
    </xf>
    <xf numFmtId="0" fontId="5" fillId="0" borderId="0" xfId="0" applyFont="1" applyAlignment="1">
      <alignment horizontal="center" vertical="top"/>
    </xf>
    <xf numFmtId="0" fontId="5" fillId="0" borderId="0" xfId="0" applyFont="1" applyAlignment="1">
      <alignment horizontal="left" vertical="top"/>
    </xf>
    <xf numFmtId="0" fontId="6" fillId="5" borderId="2" xfId="0" applyFont="1" applyFill="1" applyBorder="1" applyAlignment="1">
      <alignment vertical="top" wrapText="1"/>
    </xf>
    <xf numFmtId="0" fontId="6" fillId="5" borderId="2" xfId="0" applyFont="1" applyFill="1" applyBorder="1" applyAlignment="1">
      <alignment vertical="top"/>
    </xf>
    <xf numFmtId="0" fontId="6" fillId="5" borderId="4" xfId="0" applyFont="1" applyFill="1" applyBorder="1" applyAlignment="1">
      <alignment vertical="top"/>
    </xf>
    <xf numFmtId="9" fontId="6" fillId="5" borderId="2" xfId="113" applyFont="1" applyFill="1" applyBorder="1" applyAlignment="1">
      <alignment vertical="top"/>
    </xf>
    <xf numFmtId="0" fontId="5" fillId="0" borderId="0" xfId="0" applyFont="1" applyAlignment="1">
      <alignment vertical="center" wrapText="1"/>
    </xf>
    <xf numFmtId="0" fontId="20" fillId="5" borderId="2" xfId="0" applyFont="1" applyFill="1" applyBorder="1" applyAlignment="1">
      <alignment horizontal="center" vertical="center" wrapText="1"/>
    </xf>
    <xf numFmtId="0" fontId="20" fillId="6" borderId="5"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20" fillId="0" borderId="0" xfId="0" applyFont="1" applyAlignment="1">
      <alignment vertical="top"/>
    </xf>
    <xf numFmtId="0" fontId="5" fillId="0" borderId="0" xfId="0" applyFont="1" applyAlignment="1">
      <alignment vertical="top" wrapText="1"/>
    </xf>
    <xf numFmtId="0" fontId="3" fillId="0" borderId="0" xfId="0" applyFont="1" applyAlignment="1">
      <alignment vertical="top"/>
    </xf>
    <xf numFmtId="0" fontId="5" fillId="0" borderId="0" xfId="0" applyFont="1" applyAlignment="1">
      <alignment wrapText="1"/>
    </xf>
    <xf numFmtId="0" fontId="20" fillId="5" borderId="5" xfId="0" applyFont="1" applyFill="1" applyBorder="1" applyAlignment="1">
      <alignment horizontal="center" vertical="center" wrapText="1"/>
    </xf>
    <xf numFmtId="0" fontId="6" fillId="6" borderId="0" xfId="0" applyFont="1" applyFill="1" applyAlignment="1">
      <alignment horizontal="center" vertical="top" wrapText="1"/>
    </xf>
    <xf numFmtId="0" fontId="20" fillId="0" borderId="0" xfId="0" applyFont="1" applyAlignment="1">
      <alignment vertical="top" wrapText="1"/>
    </xf>
    <xf numFmtId="0" fontId="3" fillId="0" borderId="0" xfId="0" applyFont="1" applyAlignment="1">
      <alignment vertical="top" wrapText="1"/>
    </xf>
    <xf numFmtId="0" fontId="8" fillId="0" borderId="0" xfId="0" applyFont="1" applyAlignment="1">
      <alignment horizontal="left" vertical="top" wrapText="1"/>
    </xf>
    <xf numFmtId="9" fontId="6" fillId="0" borderId="2" xfId="113" applyFont="1" applyFill="1" applyBorder="1" applyAlignment="1">
      <alignment vertical="top"/>
    </xf>
    <xf numFmtId="9" fontId="6" fillId="0" borderId="2" xfId="113" applyFont="1" applyFill="1" applyBorder="1" applyAlignment="1">
      <alignment vertical="top" wrapText="1"/>
    </xf>
    <xf numFmtId="9" fontId="6" fillId="0" borderId="2" xfId="113" applyFont="1" applyFill="1" applyBorder="1" applyAlignment="1">
      <alignment horizontal="left" vertical="top" wrapText="1"/>
    </xf>
    <xf numFmtId="0" fontId="5" fillId="5" borderId="2" xfId="0" applyFont="1" applyFill="1" applyBorder="1" applyAlignment="1">
      <alignment horizontal="center" vertical="center" wrapText="1"/>
    </xf>
    <xf numFmtId="9" fontId="6" fillId="0" borderId="2" xfId="113" applyFont="1" applyFill="1" applyBorder="1" applyAlignment="1">
      <alignment horizontal="left" vertical="top"/>
    </xf>
    <xf numFmtId="0" fontId="6" fillId="5" borderId="5" xfId="0" applyFont="1" applyFill="1" applyBorder="1" applyAlignment="1">
      <alignment vertical="top"/>
    </xf>
    <xf numFmtId="164" fontId="8" fillId="3" borderId="2" xfId="0" applyNumberFormat="1" applyFont="1" applyFill="1" applyBorder="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164" fontId="6" fillId="0" borderId="0" xfId="0" applyNumberFormat="1" applyFont="1" applyAlignment="1">
      <alignment horizontal="center" vertical="center" wrapText="1"/>
    </xf>
    <xf numFmtId="0" fontId="3" fillId="7" borderId="2" xfId="0" applyFont="1" applyFill="1" applyBorder="1" applyAlignment="1">
      <alignment horizontal="center" vertical="center" wrapText="1"/>
    </xf>
    <xf numFmtId="0" fontId="5" fillId="8" borderId="2" xfId="0" applyFont="1" applyFill="1" applyBorder="1" applyAlignment="1">
      <alignment horizontal="left" vertical="top" wrapText="1"/>
    </xf>
    <xf numFmtId="9" fontId="6" fillId="8" borderId="2" xfId="113" applyFont="1" applyFill="1" applyBorder="1" applyAlignment="1">
      <alignment horizontal="left" vertical="top" wrapText="1"/>
    </xf>
    <xf numFmtId="0" fontId="6" fillId="8" borderId="2" xfId="0" applyFont="1" applyFill="1" applyBorder="1" applyAlignment="1">
      <alignment horizontal="left" vertical="top" wrapText="1"/>
    </xf>
    <xf numFmtId="9" fontId="6" fillId="8" borderId="2" xfId="113" applyFont="1" applyFill="1" applyBorder="1" applyAlignment="1">
      <alignment vertical="top" wrapText="1"/>
    </xf>
    <xf numFmtId="0" fontId="6" fillId="0" borderId="5" xfId="0" applyFont="1" applyBorder="1" applyAlignment="1">
      <alignment horizontal="center" vertical="top"/>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6" fillId="0" borderId="5" xfId="0" applyFont="1" applyBorder="1" applyAlignment="1">
      <alignment horizontal="center" vertical="top"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left" vertical="top" wrapText="1"/>
    </xf>
    <xf numFmtId="9" fontId="5" fillId="0" borderId="2" xfId="113" applyFont="1" applyFill="1" applyBorder="1" applyAlignment="1">
      <alignment horizontal="left" vertical="top" wrapText="1"/>
    </xf>
    <xf numFmtId="0" fontId="6" fillId="8" borderId="5" xfId="0" applyFont="1" applyFill="1" applyBorder="1" applyAlignment="1">
      <alignment horizontal="center" vertical="top"/>
    </xf>
    <xf numFmtId="0" fontId="5" fillId="8" borderId="2" xfId="0" applyFont="1" applyFill="1" applyBorder="1" applyAlignment="1">
      <alignment horizontal="center" vertical="center" wrapText="1"/>
    </xf>
    <xf numFmtId="0" fontId="23" fillId="6" borderId="6" xfId="0" applyFont="1" applyFill="1" applyBorder="1" applyAlignment="1">
      <alignment horizontal="center" vertical="center" wrapText="1"/>
    </xf>
    <xf numFmtId="0" fontId="23" fillId="6" borderId="7" xfId="0" applyFont="1" applyFill="1" applyBorder="1" applyAlignment="1">
      <alignment horizontal="center" vertical="center" wrapText="1"/>
    </xf>
    <xf numFmtId="0" fontId="23" fillId="6" borderId="5"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3" fillId="3" borderId="2" xfId="0" applyFont="1" applyFill="1" applyBorder="1" applyAlignment="1">
      <alignment horizontal="center" vertical="center"/>
    </xf>
  </cellXfs>
  <cellStyles count="115">
    <cellStyle name="Accent4 2" xfId="1" xr:uid="{00000000-0005-0000-0000-000000000000}"/>
    <cellStyle name="Comma 2" xfId="2" xr:uid="{00000000-0005-0000-0000-000001000000}"/>
    <cellStyle name="Comma 2 2" xfId="3" xr:uid="{00000000-0005-0000-0000-000002000000}"/>
    <cellStyle name="Comma 2 2 2" xfId="4" xr:uid="{00000000-0005-0000-0000-000003000000}"/>
    <cellStyle name="Comma 2 2 2 2" xfId="5" xr:uid="{00000000-0005-0000-0000-000004000000}"/>
    <cellStyle name="Comma 2 2 2 2 2" xfId="6" xr:uid="{00000000-0005-0000-0000-000005000000}"/>
    <cellStyle name="Comma 2 2 3" xfId="7" xr:uid="{00000000-0005-0000-0000-000006000000}"/>
    <cellStyle name="Comma 2 2 3 2" xfId="8" xr:uid="{00000000-0005-0000-0000-000007000000}"/>
    <cellStyle name="Comma 2 2 3 3" xfId="9" xr:uid="{00000000-0005-0000-0000-000008000000}"/>
    <cellStyle name="Comma 2 2 4" xfId="10" xr:uid="{00000000-0005-0000-0000-000009000000}"/>
    <cellStyle name="Comma 2 2 5" xfId="11" xr:uid="{00000000-0005-0000-0000-00000A000000}"/>
    <cellStyle name="Comma 2 3" xfId="12" xr:uid="{00000000-0005-0000-0000-00000B000000}"/>
    <cellStyle name="Comma 2 4" xfId="13" xr:uid="{00000000-0005-0000-0000-00000C000000}"/>
    <cellStyle name="Comma 2 4 2" xfId="14" xr:uid="{00000000-0005-0000-0000-00000D000000}"/>
    <cellStyle name="Comma 2 5" xfId="15" xr:uid="{00000000-0005-0000-0000-00000E000000}"/>
    <cellStyle name="Comma 2 6" xfId="16" xr:uid="{00000000-0005-0000-0000-00000F000000}"/>
    <cellStyle name="Comma 3" xfId="17" xr:uid="{00000000-0005-0000-0000-000010000000}"/>
    <cellStyle name="Comma 3 2" xfId="18" xr:uid="{00000000-0005-0000-0000-000011000000}"/>
    <cellStyle name="Comma 3 3" xfId="19" xr:uid="{00000000-0005-0000-0000-000012000000}"/>
    <cellStyle name="Comma 3 4" xfId="20" xr:uid="{00000000-0005-0000-0000-000013000000}"/>
    <cellStyle name="Comma 3 5" xfId="21" xr:uid="{00000000-0005-0000-0000-000014000000}"/>
    <cellStyle name="Comma 4" xfId="22" xr:uid="{00000000-0005-0000-0000-000015000000}"/>
    <cellStyle name="Comma 4 2" xfId="23" xr:uid="{00000000-0005-0000-0000-000016000000}"/>
    <cellStyle name="Comma 4 3" xfId="24" xr:uid="{00000000-0005-0000-0000-000017000000}"/>
    <cellStyle name="Comma 4 4" xfId="25" xr:uid="{00000000-0005-0000-0000-000018000000}"/>
    <cellStyle name="Comma 4 5" xfId="26" xr:uid="{00000000-0005-0000-0000-000019000000}"/>
    <cellStyle name="Comma 5" xfId="27" xr:uid="{00000000-0005-0000-0000-00001A000000}"/>
    <cellStyle name="Comma 5 2" xfId="28" xr:uid="{00000000-0005-0000-0000-00001B000000}"/>
    <cellStyle name="Comma 6" xfId="29" xr:uid="{00000000-0005-0000-0000-00001C000000}"/>
    <cellStyle name="Currency 2" xfId="30" xr:uid="{00000000-0005-0000-0000-00001D000000}"/>
    <cellStyle name="Currency 2 2" xfId="31" xr:uid="{00000000-0005-0000-0000-00001E000000}"/>
    <cellStyle name="Currency 2 2 2" xfId="32" xr:uid="{00000000-0005-0000-0000-00001F000000}"/>
    <cellStyle name="Currency 2 3" xfId="33" xr:uid="{00000000-0005-0000-0000-000020000000}"/>
    <cellStyle name="Currency 2 4" xfId="34" xr:uid="{00000000-0005-0000-0000-000021000000}"/>
    <cellStyle name="Currency 2 5" xfId="35" xr:uid="{00000000-0005-0000-0000-000022000000}"/>
    <cellStyle name="Currency 3" xfId="36" xr:uid="{00000000-0005-0000-0000-000023000000}"/>
    <cellStyle name="Currency 3 2" xfId="37" xr:uid="{00000000-0005-0000-0000-000024000000}"/>
    <cellStyle name="Currency 3 3" xfId="38" xr:uid="{00000000-0005-0000-0000-000025000000}"/>
    <cellStyle name="Currency 4" xfId="39" xr:uid="{00000000-0005-0000-0000-000026000000}"/>
    <cellStyle name="Currency 4 2" xfId="40" xr:uid="{00000000-0005-0000-0000-000027000000}"/>
    <cellStyle name="Currency 4 3" xfId="41" xr:uid="{00000000-0005-0000-0000-000028000000}"/>
    <cellStyle name="Currency 5" xfId="42" xr:uid="{00000000-0005-0000-0000-000029000000}"/>
    <cellStyle name="Currency 5 2" xfId="43" xr:uid="{00000000-0005-0000-0000-00002A000000}"/>
    <cellStyle name="Currency 5 3" xfId="44" xr:uid="{00000000-0005-0000-0000-00002B000000}"/>
    <cellStyle name="Hyperlink 2" xfId="45" xr:uid="{00000000-0005-0000-0000-00002C000000}"/>
    <cellStyle name="Hyperlink 3" xfId="46" xr:uid="{00000000-0005-0000-0000-00002D000000}"/>
    <cellStyle name="Normal" xfId="0" builtinId="0"/>
    <cellStyle name="Normal 10" xfId="47" xr:uid="{00000000-0005-0000-0000-00002F000000}"/>
    <cellStyle name="Normal 11" xfId="48" xr:uid="{00000000-0005-0000-0000-000030000000}"/>
    <cellStyle name="Normal 12" xfId="49" xr:uid="{00000000-0005-0000-0000-000031000000}"/>
    <cellStyle name="Normal 13" xfId="50" xr:uid="{00000000-0005-0000-0000-000032000000}"/>
    <cellStyle name="Normal 14" xfId="51" xr:uid="{00000000-0005-0000-0000-000033000000}"/>
    <cellStyle name="Normal 2" xfId="52" xr:uid="{00000000-0005-0000-0000-000034000000}"/>
    <cellStyle name="Normal 2 2" xfId="53" xr:uid="{00000000-0005-0000-0000-000035000000}"/>
    <cellStyle name="Normal 2 3" xfId="54" xr:uid="{00000000-0005-0000-0000-000036000000}"/>
    <cellStyle name="Normal 2 3 2" xfId="55" xr:uid="{00000000-0005-0000-0000-000037000000}"/>
    <cellStyle name="Normal 2 4" xfId="56" xr:uid="{00000000-0005-0000-0000-000038000000}"/>
    <cellStyle name="Normal 2 4 2" xfId="57" xr:uid="{00000000-0005-0000-0000-000039000000}"/>
    <cellStyle name="Normal 2 4 3" xfId="58" xr:uid="{00000000-0005-0000-0000-00003A000000}"/>
    <cellStyle name="Normal 2 5" xfId="59" xr:uid="{00000000-0005-0000-0000-00003B000000}"/>
    <cellStyle name="Normal 2 5 2" xfId="60" xr:uid="{00000000-0005-0000-0000-00003C000000}"/>
    <cellStyle name="Normal 2 6" xfId="61" xr:uid="{00000000-0005-0000-0000-00003D000000}"/>
    <cellStyle name="Normal 2_GoNoGoDataAssessmentTemplate" xfId="62" xr:uid="{00000000-0005-0000-0000-00003E000000}"/>
    <cellStyle name="Normal 3" xfId="63" xr:uid="{00000000-0005-0000-0000-00003F000000}"/>
    <cellStyle name="Normal 3 2" xfId="64" xr:uid="{00000000-0005-0000-0000-000040000000}"/>
    <cellStyle name="Normal 3 2 2" xfId="65" xr:uid="{00000000-0005-0000-0000-000041000000}"/>
    <cellStyle name="Normal 3 2 3" xfId="66" xr:uid="{00000000-0005-0000-0000-000042000000}"/>
    <cellStyle name="Normal 3 3" xfId="67" xr:uid="{00000000-0005-0000-0000-000043000000}"/>
    <cellStyle name="Normal 3 3 2" xfId="68" xr:uid="{00000000-0005-0000-0000-000044000000}"/>
    <cellStyle name="Normal 3 4" xfId="69" xr:uid="{00000000-0005-0000-0000-000045000000}"/>
    <cellStyle name="Normal 3 5" xfId="70" xr:uid="{00000000-0005-0000-0000-000046000000}"/>
    <cellStyle name="Normal 3 6" xfId="71" xr:uid="{00000000-0005-0000-0000-000047000000}"/>
    <cellStyle name="Normal 3 7" xfId="72" xr:uid="{00000000-0005-0000-0000-000048000000}"/>
    <cellStyle name="Normal 4" xfId="73" xr:uid="{00000000-0005-0000-0000-000049000000}"/>
    <cellStyle name="Normal 4 2" xfId="74" xr:uid="{00000000-0005-0000-0000-00004A000000}"/>
    <cellStyle name="Normal 4 2 2" xfId="75" xr:uid="{00000000-0005-0000-0000-00004B000000}"/>
    <cellStyle name="Normal 4 2 3" xfId="76" xr:uid="{00000000-0005-0000-0000-00004C000000}"/>
    <cellStyle name="Normal 4 3" xfId="77" xr:uid="{00000000-0005-0000-0000-00004D000000}"/>
    <cellStyle name="Normal 4 3 2" xfId="78" xr:uid="{00000000-0005-0000-0000-00004E000000}"/>
    <cellStyle name="Normal 4 3 3" xfId="79" xr:uid="{00000000-0005-0000-0000-00004F000000}"/>
    <cellStyle name="Normal 4 4" xfId="80" xr:uid="{00000000-0005-0000-0000-000050000000}"/>
    <cellStyle name="Normal 4 5" xfId="81" xr:uid="{00000000-0005-0000-0000-000051000000}"/>
    <cellStyle name="Normal 4 6" xfId="82" xr:uid="{00000000-0005-0000-0000-000052000000}"/>
    <cellStyle name="Normal 5" xfId="83" xr:uid="{00000000-0005-0000-0000-000053000000}"/>
    <cellStyle name="Normal 5 2" xfId="84" xr:uid="{00000000-0005-0000-0000-000054000000}"/>
    <cellStyle name="Normal 5 3" xfId="85" xr:uid="{00000000-0005-0000-0000-000055000000}"/>
    <cellStyle name="Normal 5 4" xfId="86" xr:uid="{00000000-0005-0000-0000-000056000000}"/>
    <cellStyle name="Normal 5 5" xfId="87" xr:uid="{00000000-0005-0000-0000-000057000000}"/>
    <cellStyle name="Normal 6" xfId="88" xr:uid="{00000000-0005-0000-0000-000058000000}"/>
    <cellStyle name="Normal 6 2" xfId="89" xr:uid="{00000000-0005-0000-0000-000059000000}"/>
    <cellStyle name="Normal 6 2 2" xfId="90" xr:uid="{00000000-0005-0000-0000-00005A000000}"/>
    <cellStyle name="Normal 6 3" xfId="91" xr:uid="{00000000-0005-0000-0000-00005B000000}"/>
    <cellStyle name="Normal 6 4" xfId="92" xr:uid="{00000000-0005-0000-0000-00005C000000}"/>
    <cellStyle name="Normal 6 5" xfId="93" xr:uid="{00000000-0005-0000-0000-00005D000000}"/>
    <cellStyle name="Normal 7" xfId="94" xr:uid="{00000000-0005-0000-0000-00005E000000}"/>
    <cellStyle name="Normal 7 2" xfId="95" xr:uid="{00000000-0005-0000-0000-00005F000000}"/>
    <cellStyle name="Normal 7 2 2" xfId="96" xr:uid="{00000000-0005-0000-0000-000060000000}"/>
    <cellStyle name="Normal 7 3" xfId="97" xr:uid="{00000000-0005-0000-0000-000061000000}"/>
    <cellStyle name="Normal 8" xfId="98" xr:uid="{00000000-0005-0000-0000-000062000000}"/>
    <cellStyle name="Normal 8 2" xfId="99" xr:uid="{00000000-0005-0000-0000-000063000000}"/>
    <cellStyle name="Normal 9" xfId="100" xr:uid="{00000000-0005-0000-0000-000064000000}"/>
    <cellStyle name="Note 2" xfId="101" xr:uid="{00000000-0005-0000-0000-000065000000}"/>
    <cellStyle name="Percent 2" xfId="102" xr:uid="{00000000-0005-0000-0000-000066000000}"/>
    <cellStyle name="Percent 2 2" xfId="103" xr:uid="{00000000-0005-0000-0000-000067000000}"/>
    <cellStyle name="Percent 2 2 2" xfId="104" xr:uid="{00000000-0005-0000-0000-000068000000}"/>
    <cellStyle name="Percent 2 2 3" xfId="105" xr:uid="{00000000-0005-0000-0000-000069000000}"/>
    <cellStyle name="Percent 2 2 4" xfId="106" xr:uid="{00000000-0005-0000-0000-00006A000000}"/>
    <cellStyle name="Percent 2 3" xfId="107" xr:uid="{00000000-0005-0000-0000-00006B000000}"/>
    <cellStyle name="Percent 2 4" xfId="108" xr:uid="{00000000-0005-0000-0000-00006C000000}"/>
    <cellStyle name="Percent 3" xfId="109" xr:uid="{00000000-0005-0000-0000-00006D000000}"/>
    <cellStyle name="Percent 3 2" xfId="110" xr:uid="{00000000-0005-0000-0000-00006E000000}"/>
    <cellStyle name="Percent 4" xfId="111" xr:uid="{00000000-0005-0000-0000-00006F000000}"/>
    <cellStyle name="Percent 4 2" xfId="112" xr:uid="{00000000-0005-0000-0000-000070000000}"/>
    <cellStyle name="Percent 5" xfId="113" xr:uid="{00000000-0005-0000-0000-000071000000}"/>
    <cellStyle name="Percent 6" xfId="114" xr:uid="{00000000-0005-0000-0000-000072000000}"/>
  </cellStyles>
  <dxfs count="0"/>
  <tableStyles count="1" defaultTableStyle="TableStyleMedium2" defaultPivotStyle="PivotStyleLight16">
    <tableStyle name="Invisible" pivot="0" table="0" count="0" xr9:uid="{B664C65E-9E42-4BF8-9644-05F549776EF4}"/>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39E03638\GL%2023%20Tests%20F16%20v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s.accenturefederal.com/sites/DCMA_AIMS_PROJECT/DCMA%20AIMS%20Documents/06%20-%20GL%20Assessments/4_Testing/Testing%20Files/GL%208%20Tests%20v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0F877E79\GL%201%20Tests%20v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s.accenturefederal.com/Users/Administrator/Desktop/GL%20Validation%20Testing/DCMA_LM_Data_Testing/01_GL%20Testing/Guideline%207/GL%207%20Tests%20F16%20v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8103EC7\GL%2015%20Tests%20F16%20v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izard"/>
      <sheetName val="Thresholds"/>
      <sheetName val="Test Approach"/>
      <sheetName val="Details"/>
      <sheetName val="Data"/>
      <sheetName val="Datasource"/>
      <sheetName val="Drop-down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izard"/>
      <sheetName val="Thresholds"/>
      <sheetName val="Test Approach"/>
      <sheetName val="Data"/>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izard"/>
      <sheetName val="Thresholds"/>
      <sheetName val="Test Approach"/>
      <sheetName val="Details"/>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izard"/>
      <sheetName val="Thresholds"/>
      <sheetName val="Test Approach"/>
      <sheetName val="Details"/>
      <sheetName val="A02_Q01_M01"/>
      <sheetName val="A02_Q02_M02"/>
      <sheetName val="A03_Q01_M01"/>
      <sheetName val="A04_Q01_M01"/>
      <sheetName val="A04_Q02_M0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izard"/>
      <sheetName val="Thresholds"/>
      <sheetName val="Clean Test Approach"/>
      <sheetName val="Detail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B050"/>
    <pageSetUpPr fitToPage="1"/>
  </sheetPr>
  <dimension ref="A1:R325"/>
  <sheetViews>
    <sheetView tabSelected="1" zoomScale="80" zoomScaleNormal="80" workbookViewId="0">
      <pane xSplit="2" ySplit="3" topLeftCell="C136" activePane="bottomRight" state="frozen"/>
      <selection pane="topRight" activeCell="D1" sqref="D1"/>
      <selection pane="bottomLeft" activeCell="A4" sqref="A4"/>
      <selection pane="bottomRight" activeCell="I137" sqref="I137"/>
    </sheetView>
  </sheetViews>
  <sheetFormatPr defaultColWidth="8.85546875" defaultRowHeight="15" x14ac:dyDescent="0.25"/>
  <cols>
    <col min="1" max="1" width="13.140625" customWidth="1"/>
    <col min="2" max="2" width="13.7109375" style="1" customWidth="1"/>
    <col min="3" max="3" width="14.42578125" style="1" customWidth="1"/>
    <col min="4" max="4" width="63.7109375" style="1" hidden="1" customWidth="1"/>
    <col min="5" max="5" width="11" style="1" customWidth="1"/>
    <col min="6" max="6" width="60.5703125" style="1" customWidth="1"/>
    <col min="7" max="7" width="63" style="15" customWidth="1"/>
    <col min="8" max="8" width="45.5703125" style="15" customWidth="1"/>
    <col min="9" max="9" width="13.42578125" style="1" customWidth="1"/>
    <col min="10" max="10" width="10.28515625" style="8" customWidth="1"/>
    <col min="11" max="11" width="11.28515625" style="29" customWidth="1"/>
    <col min="12" max="12" width="11.42578125" style="34" customWidth="1"/>
    <col min="13" max="13" width="27" style="34" customWidth="1"/>
    <col min="14" max="14" width="70.7109375" style="30" customWidth="1"/>
    <col min="15" max="16" width="65.7109375" style="30" customWidth="1"/>
    <col min="17" max="17" width="60.7109375" style="30" customWidth="1"/>
  </cols>
  <sheetData>
    <row r="1" spans="1:18" x14ac:dyDescent="0.25">
      <c r="F1" s="2"/>
      <c r="G1" s="2"/>
      <c r="H1" s="2"/>
      <c r="I1" s="3"/>
      <c r="J1" s="2"/>
      <c r="K1" s="61" t="s">
        <v>0</v>
      </c>
      <c r="L1" s="62"/>
      <c r="M1" s="62"/>
      <c r="N1" s="62"/>
      <c r="O1" s="62"/>
      <c r="P1" s="62"/>
      <c r="Q1" s="62"/>
    </row>
    <row r="2" spans="1:18" s="4" customFormat="1" x14ac:dyDescent="0.25">
      <c r="B2" s="1"/>
      <c r="C2" s="1"/>
      <c r="D2" s="1"/>
      <c r="E2" s="1"/>
      <c r="F2" s="65" t="s">
        <v>1</v>
      </c>
      <c r="G2" s="65"/>
      <c r="H2" s="65"/>
      <c r="I2" s="65"/>
      <c r="J2" s="65"/>
      <c r="K2" s="63"/>
      <c r="L2" s="64"/>
      <c r="M2" s="64"/>
      <c r="N2" s="64"/>
      <c r="O2" s="64"/>
      <c r="P2" s="64"/>
      <c r="Q2" s="64"/>
    </row>
    <row r="3" spans="1:18" s="7" customFormat="1" ht="47.45" customHeight="1" x14ac:dyDescent="0.25">
      <c r="A3" s="5" t="s">
        <v>2</v>
      </c>
      <c r="B3" s="5" t="s">
        <v>3</v>
      </c>
      <c r="C3" s="5" t="s">
        <v>4</v>
      </c>
      <c r="D3" s="5" t="s">
        <v>5</v>
      </c>
      <c r="E3" s="5" t="s">
        <v>6</v>
      </c>
      <c r="F3" s="42" t="s">
        <v>7</v>
      </c>
      <c r="G3" s="6" t="s">
        <v>8</v>
      </c>
      <c r="H3" s="6" t="s">
        <v>9</v>
      </c>
      <c r="I3" s="6" t="s">
        <v>10</v>
      </c>
      <c r="J3" s="6" t="s">
        <v>11</v>
      </c>
      <c r="K3" s="25" t="s">
        <v>12</v>
      </c>
      <c r="L3" s="26" t="s">
        <v>13</v>
      </c>
      <c r="M3" s="26" t="s">
        <v>14</v>
      </c>
      <c r="N3" s="26" t="s">
        <v>15</v>
      </c>
      <c r="O3" s="26" t="s">
        <v>16</v>
      </c>
      <c r="P3" s="26" t="s">
        <v>17</v>
      </c>
      <c r="Q3" s="26" t="s">
        <v>18</v>
      </c>
    </row>
    <row r="4" spans="1:18" s="23" customFormat="1" ht="15.75" hidden="1" x14ac:dyDescent="0.25">
      <c r="A4" s="19" t="s">
        <v>19</v>
      </c>
      <c r="B4" s="20" t="s">
        <v>20</v>
      </c>
      <c r="C4" s="20"/>
      <c r="D4" s="21"/>
      <c r="E4" s="19"/>
      <c r="F4" s="20"/>
      <c r="G4" s="20"/>
      <c r="H4" s="20"/>
      <c r="I4" s="20"/>
      <c r="J4" s="22"/>
      <c r="K4" s="31"/>
      <c r="L4" s="24"/>
      <c r="M4" s="24"/>
      <c r="N4" s="22"/>
      <c r="O4" s="22"/>
      <c r="P4" s="22"/>
      <c r="Q4" s="22"/>
    </row>
    <row r="5" spans="1:18" s="8" customFormat="1" ht="15.75" x14ac:dyDescent="0.25">
      <c r="A5" s="9">
        <v>1</v>
      </c>
      <c r="B5" s="32" t="s">
        <v>21</v>
      </c>
      <c r="C5" s="9"/>
      <c r="D5" s="10"/>
      <c r="E5" s="11" t="s">
        <v>22</v>
      </c>
      <c r="F5" s="10" t="s">
        <v>23</v>
      </c>
      <c r="G5" s="10" t="s">
        <v>24</v>
      </c>
      <c r="H5" s="10" t="s">
        <v>25</v>
      </c>
      <c r="I5" s="9" t="s">
        <v>26</v>
      </c>
      <c r="J5" s="12" t="s">
        <v>27</v>
      </c>
      <c r="K5" s="51" t="s">
        <v>28</v>
      </c>
      <c r="L5" s="52" t="s">
        <v>27</v>
      </c>
      <c r="M5" s="52"/>
      <c r="N5" s="53" t="s">
        <v>29</v>
      </c>
      <c r="O5" s="53" t="s">
        <v>30</v>
      </c>
      <c r="P5" s="53" t="s">
        <v>30</v>
      </c>
      <c r="Q5" s="53" t="s">
        <v>30</v>
      </c>
    </row>
    <row r="6" spans="1:18" s="8" customFormat="1" ht="63" x14ac:dyDescent="0.25">
      <c r="A6" s="9">
        <f t="shared" ref="A6" si="0">A5+1</f>
        <v>2</v>
      </c>
      <c r="B6" s="32" t="s">
        <v>31</v>
      </c>
      <c r="C6" s="9" t="s">
        <v>32</v>
      </c>
      <c r="D6" s="10"/>
      <c r="E6" s="11" t="s">
        <v>22</v>
      </c>
      <c r="F6" s="10" t="s">
        <v>33</v>
      </c>
      <c r="G6" s="10" t="s">
        <v>34</v>
      </c>
      <c r="H6" s="10" t="s">
        <v>35</v>
      </c>
      <c r="I6" s="9" t="s">
        <v>36</v>
      </c>
      <c r="J6" s="12" t="s">
        <v>27</v>
      </c>
      <c r="K6" s="51" t="s">
        <v>28</v>
      </c>
      <c r="L6" s="52" t="s">
        <v>27</v>
      </c>
      <c r="M6" s="52"/>
      <c r="N6" s="53" t="s">
        <v>37</v>
      </c>
      <c r="O6" s="53" t="s">
        <v>38</v>
      </c>
      <c r="P6" s="53" t="s">
        <v>30</v>
      </c>
      <c r="Q6" s="53" t="s">
        <v>30</v>
      </c>
    </row>
    <row r="7" spans="1:18" s="23" customFormat="1" ht="15.75" hidden="1" x14ac:dyDescent="0.25">
      <c r="A7" s="19" t="s">
        <v>39</v>
      </c>
      <c r="B7" s="20" t="s">
        <v>40</v>
      </c>
      <c r="C7" s="20"/>
      <c r="D7" s="21"/>
      <c r="E7" s="19"/>
      <c r="F7" s="20"/>
      <c r="G7" s="20"/>
      <c r="H7" s="20"/>
      <c r="I7" s="20"/>
      <c r="J7" s="20"/>
      <c r="K7" s="41"/>
      <c r="L7" s="39"/>
      <c r="M7" s="39"/>
      <c r="N7" s="39"/>
      <c r="O7" s="22"/>
      <c r="P7" s="22"/>
      <c r="Q7" s="22"/>
    </row>
    <row r="8" spans="1:18" s="8" customFormat="1" ht="31.5" x14ac:dyDescent="0.25">
      <c r="A8" s="9">
        <f>A6+1</f>
        <v>3</v>
      </c>
      <c r="B8" s="32" t="s">
        <v>41</v>
      </c>
      <c r="C8" s="9"/>
      <c r="D8" s="10"/>
      <c r="E8" s="11" t="s">
        <v>22</v>
      </c>
      <c r="F8" s="10" t="s">
        <v>42</v>
      </c>
      <c r="G8" s="10" t="s">
        <v>43</v>
      </c>
      <c r="H8" s="10" t="s">
        <v>25</v>
      </c>
      <c r="I8" s="9" t="s">
        <v>26</v>
      </c>
      <c r="J8" s="12" t="s">
        <v>27</v>
      </c>
      <c r="K8" s="51" t="s">
        <v>28</v>
      </c>
      <c r="L8" s="52" t="s">
        <v>27</v>
      </c>
      <c r="M8" s="52"/>
      <c r="N8" s="53" t="s">
        <v>44</v>
      </c>
      <c r="O8" s="53" t="s">
        <v>30</v>
      </c>
      <c r="P8" s="53" t="s">
        <v>30</v>
      </c>
      <c r="Q8" s="53" t="s">
        <v>30</v>
      </c>
      <c r="R8" s="23"/>
    </row>
    <row r="9" spans="1:18" s="8" customFormat="1" ht="63" x14ac:dyDescent="0.25">
      <c r="A9" s="9">
        <f t="shared" ref="A9:A47" si="1">A8+1</f>
        <v>4</v>
      </c>
      <c r="B9" s="32" t="s">
        <v>45</v>
      </c>
      <c r="C9" s="9"/>
      <c r="D9" s="10"/>
      <c r="E9" s="11" t="s">
        <v>22</v>
      </c>
      <c r="F9" s="43" t="s">
        <v>46</v>
      </c>
      <c r="G9" s="43" t="s">
        <v>47</v>
      </c>
      <c r="H9" s="43" t="s">
        <v>48</v>
      </c>
      <c r="I9" s="9" t="s">
        <v>36</v>
      </c>
      <c r="J9" s="12" t="s">
        <v>27</v>
      </c>
      <c r="K9" s="51" t="s">
        <v>28</v>
      </c>
      <c r="L9" s="52" t="s">
        <v>27</v>
      </c>
      <c r="M9" s="52"/>
      <c r="N9" s="53" t="s">
        <v>49</v>
      </c>
      <c r="O9" s="53" t="s">
        <v>50</v>
      </c>
      <c r="P9" s="53" t="s">
        <v>30</v>
      </c>
      <c r="Q9" s="53" t="s">
        <v>30</v>
      </c>
      <c r="R9" s="23"/>
    </row>
    <row r="10" spans="1:18" s="23" customFormat="1" ht="15.75" hidden="1" x14ac:dyDescent="0.25">
      <c r="A10" s="19" t="s">
        <v>51</v>
      </c>
      <c r="B10" s="20" t="s">
        <v>52</v>
      </c>
      <c r="C10" s="20"/>
      <c r="D10" s="21"/>
      <c r="E10" s="19"/>
      <c r="F10" s="20"/>
      <c r="G10" s="20"/>
      <c r="H10" s="20"/>
      <c r="I10" s="20"/>
      <c r="J10" s="20"/>
      <c r="K10" s="41"/>
      <c r="L10" s="39"/>
      <c r="M10" s="39"/>
      <c r="N10" s="39"/>
      <c r="O10" s="22"/>
      <c r="P10" s="22"/>
      <c r="Q10" s="22"/>
    </row>
    <row r="11" spans="1:18" s="8" customFormat="1" ht="141.75" x14ac:dyDescent="0.25">
      <c r="A11" s="9">
        <f>A9+1</f>
        <v>5</v>
      </c>
      <c r="B11" s="32" t="s">
        <v>53</v>
      </c>
      <c r="C11" s="9"/>
      <c r="D11" s="10"/>
      <c r="E11" s="11" t="s">
        <v>22</v>
      </c>
      <c r="F11" s="10" t="s">
        <v>54</v>
      </c>
      <c r="G11" s="10" t="s">
        <v>55</v>
      </c>
      <c r="H11" s="10" t="s">
        <v>56</v>
      </c>
      <c r="I11" s="9" t="s">
        <v>57</v>
      </c>
      <c r="J11" s="12" t="s">
        <v>27</v>
      </c>
      <c r="K11" s="51" t="s">
        <v>58</v>
      </c>
      <c r="L11" s="52" t="s">
        <v>59</v>
      </c>
      <c r="M11" s="52" t="s">
        <v>60</v>
      </c>
      <c r="N11" s="53" t="s">
        <v>61</v>
      </c>
      <c r="O11" s="53" t="s">
        <v>62</v>
      </c>
      <c r="P11" s="53" t="s">
        <v>63</v>
      </c>
      <c r="Q11" s="53" t="s">
        <v>64</v>
      </c>
      <c r="R11" s="23"/>
    </row>
    <row r="12" spans="1:18" s="8" customFormat="1" ht="110.25" x14ac:dyDescent="0.25">
      <c r="A12" s="9">
        <f>A11+1</f>
        <v>6</v>
      </c>
      <c r="B12" s="32" t="s">
        <v>65</v>
      </c>
      <c r="C12" s="9"/>
      <c r="D12" s="10"/>
      <c r="E12" s="11" t="s">
        <v>22</v>
      </c>
      <c r="F12" s="43" t="s">
        <v>66</v>
      </c>
      <c r="G12" s="43" t="s">
        <v>67</v>
      </c>
      <c r="H12" s="43" t="s">
        <v>68</v>
      </c>
      <c r="I12" s="9" t="s">
        <v>69</v>
      </c>
      <c r="J12" s="12" t="s">
        <v>27</v>
      </c>
      <c r="K12" s="51" t="s">
        <v>58</v>
      </c>
      <c r="L12" s="52" t="s">
        <v>59</v>
      </c>
      <c r="M12" s="52" t="s">
        <v>60</v>
      </c>
      <c r="N12" s="53" t="s">
        <v>70</v>
      </c>
      <c r="O12" s="53" t="s">
        <v>71</v>
      </c>
      <c r="P12" s="53" t="s">
        <v>72</v>
      </c>
      <c r="Q12" s="53" t="s">
        <v>30</v>
      </c>
      <c r="R12" s="23"/>
    </row>
    <row r="13" spans="1:18" s="8" customFormat="1" ht="126" x14ac:dyDescent="0.25">
      <c r="A13" s="9">
        <f>A12+1</f>
        <v>7</v>
      </c>
      <c r="B13" s="32" t="s">
        <v>73</v>
      </c>
      <c r="C13" s="9"/>
      <c r="D13" s="10"/>
      <c r="E13" s="11" t="s">
        <v>22</v>
      </c>
      <c r="F13" s="43" t="s">
        <v>74</v>
      </c>
      <c r="G13" s="43" t="s">
        <v>75</v>
      </c>
      <c r="H13" s="43" t="s">
        <v>76</v>
      </c>
      <c r="I13" s="9" t="s">
        <v>77</v>
      </c>
      <c r="J13" s="12" t="s">
        <v>78</v>
      </c>
      <c r="K13" s="51" t="s">
        <v>79</v>
      </c>
      <c r="L13" s="52" t="s">
        <v>59</v>
      </c>
      <c r="M13" s="52"/>
      <c r="N13" s="53" t="s">
        <v>80</v>
      </c>
      <c r="O13" s="53" t="s">
        <v>81</v>
      </c>
      <c r="P13" s="53" t="s">
        <v>82</v>
      </c>
      <c r="Q13" s="53" t="s">
        <v>83</v>
      </c>
      <c r="R13" s="23"/>
    </row>
    <row r="14" spans="1:18" s="8" customFormat="1" ht="204.75" x14ac:dyDescent="0.25">
      <c r="A14" s="9">
        <f t="shared" si="1"/>
        <v>8</v>
      </c>
      <c r="B14" s="32" t="s">
        <v>84</v>
      </c>
      <c r="C14" s="9"/>
      <c r="D14" s="10"/>
      <c r="E14" s="11" t="s">
        <v>22</v>
      </c>
      <c r="F14" s="10" t="s">
        <v>85</v>
      </c>
      <c r="G14" s="10" t="s">
        <v>86</v>
      </c>
      <c r="H14" s="10" t="s">
        <v>87</v>
      </c>
      <c r="I14" s="9" t="s">
        <v>88</v>
      </c>
      <c r="J14" s="12" t="s">
        <v>59</v>
      </c>
      <c r="K14" s="51" t="s">
        <v>79</v>
      </c>
      <c r="L14" s="52" t="s">
        <v>59</v>
      </c>
      <c r="M14" s="52" t="s">
        <v>89</v>
      </c>
      <c r="N14" s="53" t="s">
        <v>90</v>
      </c>
      <c r="O14" s="53" t="s">
        <v>91</v>
      </c>
      <c r="P14" s="53" t="s">
        <v>92</v>
      </c>
      <c r="Q14" s="53" t="s">
        <v>93</v>
      </c>
      <c r="R14" s="23"/>
    </row>
    <row r="15" spans="1:18" s="8" customFormat="1" ht="189" x14ac:dyDescent="0.25">
      <c r="A15" s="9">
        <f t="shared" si="1"/>
        <v>9</v>
      </c>
      <c r="B15" s="32" t="s">
        <v>94</v>
      </c>
      <c r="C15" s="9"/>
      <c r="D15" s="10"/>
      <c r="E15" s="11" t="s">
        <v>22</v>
      </c>
      <c r="F15" s="43" t="s">
        <v>95</v>
      </c>
      <c r="G15" s="43" t="s">
        <v>96</v>
      </c>
      <c r="H15" s="43" t="s">
        <v>68</v>
      </c>
      <c r="I15" s="9" t="s">
        <v>57</v>
      </c>
      <c r="J15" s="12" t="s">
        <v>27</v>
      </c>
      <c r="K15" s="51" t="s">
        <v>58</v>
      </c>
      <c r="L15" s="52" t="s">
        <v>59</v>
      </c>
      <c r="M15" s="52" t="s">
        <v>60</v>
      </c>
      <c r="N15" s="53" t="s">
        <v>97</v>
      </c>
      <c r="O15" s="53" t="s">
        <v>98</v>
      </c>
      <c r="P15" s="53" t="s">
        <v>99</v>
      </c>
      <c r="Q15" s="53" t="s">
        <v>30</v>
      </c>
      <c r="R15" s="23"/>
    </row>
    <row r="16" spans="1:18" s="8" customFormat="1" ht="252" x14ac:dyDescent="0.25">
      <c r="A16" s="9">
        <f t="shared" si="1"/>
        <v>10</v>
      </c>
      <c r="B16" s="32" t="s">
        <v>100</v>
      </c>
      <c r="C16" s="9"/>
      <c r="D16" s="10"/>
      <c r="E16" s="11" t="s">
        <v>22</v>
      </c>
      <c r="F16" s="10" t="s">
        <v>101</v>
      </c>
      <c r="G16" s="10" t="s">
        <v>102</v>
      </c>
      <c r="H16" s="10" t="s">
        <v>103</v>
      </c>
      <c r="I16" s="9" t="s">
        <v>57</v>
      </c>
      <c r="J16" s="12" t="s">
        <v>59</v>
      </c>
      <c r="K16" s="51" t="s">
        <v>58</v>
      </c>
      <c r="L16" s="52" t="s">
        <v>59</v>
      </c>
      <c r="M16" s="53"/>
      <c r="N16" s="53" t="s">
        <v>104</v>
      </c>
      <c r="O16" s="53" t="s">
        <v>105</v>
      </c>
      <c r="P16" s="53" t="s">
        <v>106</v>
      </c>
      <c r="Q16" s="53" t="s">
        <v>107</v>
      </c>
      <c r="R16" s="23"/>
    </row>
    <row r="17" spans="1:18" s="8" customFormat="1" ht="252" x14ac:dyDescent="0.25">
      <c r="A17" s="9">
        <f t="shared" si="1"/>
        <v>11</v>
      </c>
      <c r="B17" s="32" t="s">
        <v>108</v>
      </c>
      <c r="C17" s="9"/>
      <c r="D17" s="10"/>
      <c r="E17" s="11" t="s">
        <v>22</v>
      </c>
      <c r="F17" s="10" t="s">
        <v>109</v>
      </c>
      <c r="G17" s="10" t="s">
        <v>110</v>
      </c>
      <c r="H17" s="10" t="s">
        <v>103</v>
      </c>
      <c r="I17" s="9" t="s">
        <v>57</v>
      </c>
      <c r="J17" s="12" t="s">
        <v>59</v>
      </c>
      <c r="K17" s="51" t="s">
        <v>58</v>
      </c>
      <c r="L17" s="52" t="s">
        <v>59</v>
      </c>
      <c r="M17" s="52"/>
      <c r="N17" s="53" t="s">
        <v>111</v>
      </c>
      <c r="O17" s="53" t="s">
        <v>112</v>
      </c>
      <c r="P17" s="53" t="s">
        <v>113</v>
      </c>
      <c r="Q17" s="53" t="s">
        <v>114</v>
      </c>
      <c r="R17" s="23"/>
    </row>
    <row r="18" spans="1:18" s="8" customFormat="1" ht="75" customHeight="1" x14ac:dyDescent="0.25">
      <c r="A18" s="9">
        <f t="shared" si="1"/>
        <v>12</v>
      </c>
      <c r="B18" s="32" t="s">
        <v>115</v>
      </c>
      <c r="C18" s="9"/>
      <c r="D18" s="10"/>
      <c r="E18" s="11" t="s">
        <v>22</v>
      </c>
      <c r="F18" s="43" t="s">
        <v>116</v>
      </c>
      <c r="G18" s="43" t="s">
        <v>117</v>
      </c>
      <c r="H18" s="43" t="s">
        <v>118</v>
      </c>
      <c r="I18" s="9" t="s">
        <v>57</v>
      </c>
      <c r="J18" s="12" t="s">
        <v>27</v>
      </c>
      <c r="K18" s="51" t="s">
        <v>58</v>
      </c>
      <c r="L18" s="52" t="s">
        <v>27</v>
      </c>
      <c r="M18" s="52"/>
      <c r="N18" s="53" t="s">
        <v>119</v>
      </c>
      <c r="O18" s="53" t="s">
        <v>120</v>
      </c>
      <c r="P18" s="53" t="s">
        <v>30</v>
      </c>
      <c r="Q18" s="53" t="s">
        <v>30</v>
      </c>
      <c r="R18" s="23"/>
    </row>
    <row r="19" spans="1:18" s="8" customFormat="1" ht="63" x14ac:dyDescent="0.25">
      <c r="A19" s="9">
        <f t="shared" si="1"/>
        <v>13</v>
      </c>
      <c r="B19" s="32" t="s">
        <v>121</v>
      </c>
      <c r="C19" s="9"/>
      <c r="D19" s="10"/>
      <c r="E19" s="11" t="s">
        <v>22</v>
      </c>
      <c r="F19" s="43" t="s">
        <v>122</v>
      </c>
      <c r="G19" s="43" t="s">
        <v>123</v>
      </c>
      <c r="H19" s="43" t="s">
        <v>124</v>
      </c>
      <c r="I19" s="9" t="s">
        <v>57</v>
      </c>
      <c r="J19" s="12" t="s">
        <v>27</v>
      </c>
      <c r="K19" s="51" t="s">
        <v>28</v>
      </c>
      <c r="L19" s="52" t="s">
        <v>27</v>
      </c>
      <c r="M19" s="52" t="s">
        <v>125</v>
      </c>
      <c r="N19" s="53" t="s">
        <v>126</v>
      </c>
      <c r="O19" s="53" t="s">
        <v>127</v>
      </c>
      <c r="P19" s="53" t="s">
        <v>30</v>
      </c>
      <c r="Q19" s="53" t="s">
        <v>30</v>
      </c>
      <c r="R19" s="23"/>
    </row>
    <row r="20" spans="1:18" s="8" customFormat="1" ht="63" x14ac:dyDescent="0.25">
      <c r="A20" s="9">
        <f t="shared" si="1"/>
        <v>14</v>
      </c>
      <c r="B20" s="32" t="s">
        <v>128</v>
      </c>
      <c r="C20" s="9"/>
      <c r="D20" s="10"/>
      <c r="E20" s="11" t="s">
        <v>22</v>
      </c>
      <c r="F20" s="43" t="s">
        <v>129</v>
      </c>
      <c r="G20" s="43" t="s">
        <v>130</v>
      </c>
      <c r="H20" s="43" t="s">
        <v>131</v>
      </c>
      <c r="I20" s="9" t="s">
        <v>57</v>
      </c>
      <c r="J20" s="12" t="s">
        <v>27</v>
      </c>
      <c r="K20" s="51" t="s">
        <v>28</v>
      </c>
      <c r="L20" s="52" t="s">
        <v>27</v>
      </c>
      <c r="M20" s="52" t="s">
        <v>125</v>
      </c>
      <c r="N20" s="53" t="s">
        <v>132</v>
      </c>
      <c r="O20" s="53" t="s">
        <v>133</v>
      </c>
      <c r="P20" s="53" t="s">
        <v>30</v>
      </c>
      <c r="Q20" s="53" t="s">
        <v>30</v>
      </c>
      <c r="R20" s="23"/>
    </row>
    <row r="21" spans="1:18" s="23" customFormat="1" ht="15.75" hidden="1" x14ac:dyDescent="0.25">
      <c r="A21" s="19" t="s">
        <v>134</v>
      </c>
      <c r="B21" s="20" t="s">
        <v>135</v>
      </c>
      <c r="C21" s="20"/>
      <c r="D21" s="21"/>
      <c r="E21" s="19"/>
      <c r="F21" s="20"/>
      <c r="G21" s="20"/>
      <c r="H21" s="20"/>
      <c r="I21" s="20"/>
      <c r="J21" s="20"/>
      <c r="K21" s="41"/>
      <c r="L21" s="39"/>
      <c r="M21" s="39"/>
      <c r="N21" s="39"/>
      <c r="O21" s="22"/>
      <c r="P21" s="22"/>
      <c r="Q21" s="22"/>
    </row>
    <row r="22" spans="1:18" s="8" customFormat="1" ht="88.5" customHeight="1" x14ac:dyDescent="0.25">
      <c r="A22" s="9">
        <f>A20+1</f>
        <v>15</v>
      </c>
      <c r="B22" s="32" t="s">
        <v>136</v>
      </c>
      <c r="C22" s="9" t="s">
        <v>137</v>
      </c>
      <c r="D22" s="10"/>
      <c r="E22" s="11" t="s">
        <v>22</v>
      </c>
      <c r="F22" s="10" t="s">
        <v>138</v>
      </c>
      <c r="G22" s="10" t="s">
        <v>139</v>
      </c>
      <c r="H22" s="10" t="s">
        <v>25</v>
      </c>
      <c r="I22" s="9" t="s">
        <v>26</v>
      </c>
      <c r="J22" s="12" t="s">
        <v>27</v>
      </c>
      <c r="K22" s="51" t="s">
        <v>58</v>
      </c>
      <c r="L22" s="52" t="s">
        <v>27</v>
      </c>
      <c r="M22" s="52"/>
      <c r="N22" s="53" t="s">
        <v>140</v>
      </c>
      <c r="O22" s="53" t="s">
        <v>30</v>
      </c>
      <c r="P22" s="53" t="s">
        <v>30</v>
      </c>
      <c r="Q22" s="53" t="s">
        <v>30</v>
      </c>
      <c r="R22" s="23"/>
    </row>
    <row r="23" spans="1:18" s="23" customFormat="1" ht="15.75" hidden="1" x14ac:dyDescent="0.25">
      <c r="A23" s="19" t="s">
        <v>141</v>
      </c>
      <c r="B23" s="20" t="s">
        <v>142</v>
      </c>
      <c r="C23" s="20"/>
      <c r="D23" s="21"/>
      <c r="E23" s="19"/>
      <c r="F23" s="20"/>
      <c r="G23" s="20"/>
      <c r="H23" s="20"/>
      <c r="I23" s="20"/>
      <c r="J23" s="20"/>
      <c r="K23" s="41"/>
      <c r="L23" s="19"/>
      <c r="M23" s="39"/>
      <c r="N23" s="39"/>
      <c r="O23" s="22"/>
      <c r="P23" s="22"/>
      <c r="Q23" s="22"/>
    </row>
    <row r="24" spans="1:18" s="8" customFormat="1" ht="78.75" x14ac:dyDescent="0.25">
      <c r="A24" s="9">
        <f>A22+1</f>
        <v>16</v>
      </c>
      <c r="B24" s="32" t="s">
        <v>143</v>
      </c>
      <c r="C24" s="9"/>
      <c r="D24" s="10"/>
      <c r="E24" s="11" t="s">
        <v>22</v>
      </c>
      <c r="F24" s="10" t="s">
        <v>144</v>
      </c>
      <c r="G24" s="10" t="s">
        <v>145</v>
      </c>
      <c r="H24" s="10" t="s">
        <v>146</v>
      </c>
      <c r="I24" s="9" t="s">
        <v>147</v>
      </c>
      <c r="J24" s="12" t="s">
        <v>59</v>
      </c>
      <c r="K24" s="51" t="s">
        <v>58</v>
      </c>
      <c r="L24" s="52" t="s">
        <v>59</v>
      </c>
      <c r="M24" s="52"/>
      <c r="N24" s="53" t="s">
        <v>148</v>
      </c>
      <c r="O24" s="53" t="s">
        <v>149</v>
      </c>
      <c r="P24" s="53" t="s">
        <v>150</v>
      </c>
      <c r="Q24" s="53" t="s">
        <v>30</v>
      </c>
      <c r="R24" s="23"/>
    </row>
    <row r="25" spans="1:18" s="8" customFormat="1" ht="78.75" x14ac:dyDescent="0.25">
      <c r="A25" s="9">
        <f t="shared" si="1"/>
        <v>17</v>
      </c>
      <c r="B25" s="32" t="s">
        <v>151</v>
      </c>
      <c r="C25" s="9"/>
      <c r="D25" s="10"/>
      <c r="E25" s="11" t="s">
        <v>22</v>
      </c>
      <c r="F25" s="10" t="s">
        <v>152</v>
      </c>
      <c r="G25" s="10" t="s">
        <v>153</v>
      </c>
      <c r="H25" s="10" t="s">
        <v>154</v>
      </c>
      <c r="I25" s="9" t="s">
        <v>57</v>
      </c>
      <c r="J25" s="12" t="s">
        <v>59</v>
      </c>
      <c r="K25" s="51" t="s">
        <v>58</v>
      </c>
      <c r="L25" s="52" t="s">
        <v>59</v>
      </c>
      <c r="M25" s="52"/>
      <c r="N25" s="53" t="s">
        <v>155</v>
      </c>
      <c r="O25" s="53" t="s">
        <v>149</v>
      </c>
      <c r="P25" s="53" t="s">
        <v>156</v>
      </c>
      <c r="Q25" s="53" t="s">
        <v>30</v>
      </c>
      <c r="R25" s="23"/>
    </row>
    <row r="26" spans="1:18" s="8" customFormat="1" ht="78.75" x14ac:dyDescent="0.25">
      <c r="A26" s="9">
        <f t="shared" si="1"/>
        <v>18</v>
      </c>
      <c r="B26" s="32" t="s">
        <v>157</v>
      </c>
      <c r="C26" s="9"/>
      <c r="D26" s="10"/>
      <c r="E26" s="11" t="s">
        <v>22</v>
      </c>
      <c r="F26" s="10" t="s">
        <v>158</v>
      </c>
      <c r="G26" s="10" t="s">
        <v>159</v>
      </c>
      <c r="H26" s="10" t="s">
        <v>146</v>
      </c>
      <c r="I26" s="9" t="s">
        <v>147</v>
      </c>
      <c r="J26" s="12" t="s">
        <v>59</v>
      </c>
      <c r="K26" s="51" t="s">
        <v>58</v>
      </c>
      <c r="L26" s="52" t="s">
        <v>59</v>
      </c>
      <c r="M26" s="52"/>
      <c r="N26" s="53" t="s">
        <v>160</v>
      </c>
      <c r="O26" s="53" t="s">
        <v>149</v>
      </c>
      <c r="P26" s="53" t="s">
        <v>161</v>
      </c>
      <c r="Q26" s="53" t="s">
        <v>30</v>
      </c>
      <c r="R26" s="23"/>
    </row>
    <row r="27" spans="1:18" s="23" customFormat="1" ht="15.75" hidden="1" x14ac:dyDescent="0.25">
      <c r="A27" s="19" t="s">
        <v>162</v>
      </c>
      <c r="B27" s="20" t="s">
        <v>163</v>
      </c>
      <c r="C27" s="20"/>
      <c r="D27" s="21"/>
      <c r="E27" s="19"/>
      <c r="F27" s="20"/>
      <c r="G27" s="20"/>
      <c r="H27" s="20"/>
      <c r="I27" s="20"/>
      <c r="J27" s="20"/>
      <c r="K27" s="41"/>
      <c r="L27" s="19"/>
      <c r="M27" s="39"/>
      <c r="N27" s="39"/>
      <c r="O27" s="22"/>
      <c r="P27" s="22"/>
      <c r="Q27" s="22"/>
    </row>
    <row r="28" spans="1:18" s="8" customFormat="1" ht="110.25" x14ac:dyDescent="0.25">
      <c r="A28" s="9">
        <f>A26+1</f>
        <v>19</v>
      </c>
      <c r="B28" s="32" t="s">
        <v>164</v>
      </c>
      <c r="C28" s="9" t="s">
        <v>137</v>
      </c>
      <c r="D28" s="10"/>
      <c r="E28" s="11" t="s">
        <v>22</v>
      </c>
      <c r="F28" s="43" t="s">
        <v>165</v>
      </c>
      <c r="G28" s="43" t="s">
        <v>166</v>
      </c>
      <c r="H28" s="43" t="s">
        <v>167</v>
      </c>
      <c r="I28" s="9" t="s">
        <v>36</v>
      </c>
      <c r="J28" s="12" t="s">
        <v>59</v>
      </c>
      <c r="K28" s="54" t="s">
        <v>168</v>
      </c>
      <c r="L28" s="52" t="s">
        <v>59</v>
      </c>
      <c r="M28" s="52" t="s">
        <v>169</v>
      </c>
      <c r="N28" s="49" t="s">
        <v>170</v>
      </c>
      <c r="O28" s="49" t="s">
        <v>171</v>
      </c>
      <c r="P28" s="49" t="s">
        <v>172</v>
      </c>
      <c r="Q28" s="53" t="s">
        <v>30</v>
      </c>
      <c r="R28" s="23"/>
    </row>
    <row r="29" spans="1:18" s="8" customFormat="1" ht="63" x14ac:dyDescent="0.25">
      <c r="A29" s="9" t="s">
        <v>173</v>
      </c>
      <c r="B29" s="32" t="s">
        <v>164</v>
      </c>
      <c r="C29" s="9" t="s">
        <v>137</v>
      </c>
      <c r="D29" s="10"/>
      <c r="E29" s="11" t="s">
        <v>22</v>
      </c>
      <c r="F29" s="10"/>
      <c r="G29" s="10"/>
      <c r="H29" s="10"/>
      <c r="I29" s="9"/>
      <c r="J29" s="12"/>
      <c r="K29" s="54" t="s">
        <v>28</v>
      </c>
      <c r="L29" s="52" t="s">
        <v>59</v>
      </c>
      <c r="M29" s="52"/>
      <c r="N29" s="49" t="s">
        <v>174</v>
      </c>
      <c r="O29" s="49" t="s">
        <v>149</v>
      </c>
      <c r="P29" s="49" t="s">
        <v>175</v>
      </c>
      <c r="Q29" s="53"/>
      <c r="R29" s="23"/>
    </row>
    <row r="30" spans="1:18" s="8" customFormat="1" ht="94.5" x14ac:dyDescent="0.25">
      <c r="A30" s="9" t="s">
        <v>176</v>
      </c>
      <c r="B30" s="32" t="s">
        <v>164</v>
      </c>
      <c r="C30" s="9" t="s">
        <v>137</v>
      </c>
      <c r="D30" s="10"/>
      <c r="E30" s="11" t="s">
        <v>22</v>
      </c>
      <c r="F30" s="10"/>
      <c r="G30" s="10"/>
      <c r="H30" s="10"/>
      <c r="I30" s="9"/>
      <c r="J30" s="12"/>
      <c r="K30" s="54" t="s">
        <v>177</v>
      </c>
      <c r="L30" s="52" t="s">
        <v>59</v>
      </c>
      <c r="M30" s="52" t="s">
        <v>178</v>
      </c>
      <c r="N30" s="49" t="s">
        <v>179</v>
      </c>
      <c r="O30" s="49" t="s">
        <v>71</v>
      </c>
      <c r="P30" s="49" t="s">
        <v>180</v>
      </c>
      <c r="Q30" s="53" t="s">
        <v>30</v>
      </c>
      <c r="R30" s="23"/>
    </row>
    <row r="31" spans="1:18" s="8" customFormat="1" ht="47.25" x14ac:dyDescent="0.25">
      <c r="A31" s="9">
        <f>A28+1</f>
        <v>20</v>
      </c>
      <c r="B31" s="32" t="s">
        <v>181</v>
      </c>
      <c r="C31" s="9"/>
      <c r="D31" s="10"/>
      <c r="E31" s="11" t="s">
        <v>22</v>
      </c>
      <c r="F31" s="10" t="s">
        <v>182</v>
      </c>
      <c r="G31" s="10" t="s">
        <v>183</v>
      </c>
      <c r="H31" s="10" t="s">
        <v>184</v>
      </c>
      <c r="I31" s="9" t="s">
        <v>185</v>
      </c>
      <c r="J31" s="12" t="s">
        <v>27</v>
      </c>
      <c r="K31" s="51" t="s">
        <v>28</v>
      </c>
      <c r="L31" s="52" t="s">
        <v>27</v>
      </c>
      <c r="M31" s="52" t="s">
        <v>125</v>
      </c>
      <c r="N31" s="53" t="s">
        <v>186</v>
      </c>
      <c r="O31" s="53" t="s">
        <v>187</v>
      </c>
      <c r="P31" s="53" t="s">
        <v>30</v>
      </c>
      <c r="Q31" s="53" t="s">
        <v>30</v>
      </c>
      <c r="R31" s="23"/>
    </row>
    <row r="32" spans="1:18" s="8" customFormat="1" ht="362.25" x14ac:dyDescent="0.25">
      <c r="A32" s="9">
        <f>A31+1</f>
        <v>21</v>
      </c>
      <c r="B32" s="32" t="s">
        <v>188</v>
      </c>
      <c r="C32" s="9"/>
      <c r="D32" s="10"/>
      <c r="E32" s="11" t="s">
        <v>22</v>
      </c>
      <c r="F32" s="10" t="s">
        <v>189</v>
      </c>
      <c r="G32" s="10" t="s">
        <v>190</v>
      </c>
      <c r="H32" s="10" t="s">
        <v>191</v>
      </c>
      <c r="I32" s="9" t="s">
        <v>36</v>
      </c>
      <c r="J32" s="12" t="s">
        <v>59</v>
      </c>
      <c r="K32" s="51" t="s">
        <v>28</v>
      </c>
      <c r="L32" s="52" t="s">
        <v>59</v>
      </c>
      <c r="M32" s="52" t="s">
        <v>192</v>
      </c>
      <c r="N32" s="53" t="s">
        <v>193</v>
      </c>
      <c r="O32" s="53" t="s">
        <v>194</v>
      </c>
      <c r="P32" s="53" t="s">
        <v>195</v>
      </c>
      <c r="Q32" s="53" t="s">
        <v>30</v>
      </c>
      <c r="R32" s="23"/>
    </row>
    <row r="33" spans="1:18" s="8" customFormat="1" ht="47.25" x14ac:dyDescent="0.25">
      <c r="A33" s="9">
        <f>A32+1</f>
        <v>22</v>
      </c>
      <c r="B33" s="32" t="s">
        <v>196</v>
      </c>
      <c r="C33" s="9"/>
      <c r="D33" s="10"/>
      <c r="E33" s="11" t="s">
        <v>22</v>
      </c>
      <c r="F33" s="10" t="s">
        <v>197</v>
      </c>
      <c r="G33" s="10" t="s">
        <v>198</v>
      </c>
      <c r="H33" s="10" t="s">
        <v>199</v>
      </c>
      <c r="I33" s="9" t="s">
        <v>200</v>
      </c>
      <c r="J33" s="12" t="s">
        <v>59</v>
      </c>
      <c r="K33" s="51" t="s">
        <v>28</v>
      </c>
      <c r="L33" s="52" t="s">
        <v>59</v>
      </c>
      <c r="M33" s="52"/>
      <c r="N33" s="53" t="s">
        <v>201</v>
      </c>
      <c r="O33" s="53" t="s">
        <v>149</v>
      </c>
      <c r="P33" s="53" t="s">
        <v>202</v>
      </c>
      <c r="Q33" s="53" t="s">
        <v>30</v>
      </c>
      <c r="R33" s="23"/>
    </row>
    <row r="34" spans="1:18" s="8" customFormat="1" ht="94.5" x14ac:dyDescent="0.25">
      <c r="A34" s="9">
        <f>A33+1</f>
        <v>23</v>
      </c>
      <c r="B34" s="32" t="s">
        <v>203</v>
      </c>
      <c r="C34" s="9"/>
      <c r="D34" s="10"/>
      <c r="E34" s="11" t="s">
        <v>22</v>
      </c>
      <c r="F34" s="43" t="s">
        <v>204</v>
      </c>
      <c r="G34" s="43" t="s">
        <v>205</v>
      </c>
      <c r="H34" s="44" t="s">
        <v>25</v>
      </c>
      <c r="I34" s="9" t="s">
        <v>26</v>
      </c>
      <c r="J34" s="12" t="s">
        <v>59</v>
      </c>
      <c r="K34" s="51" t="s">
        <v>28</v>
      </c>
      <c r="L34" s="52" t="s">
        <v>59</v>
      </c>
      <c r="M34" s="52" t="s">
        <v>206</v>
      </c>
      <c r="N34" s="53" t="s">
        <v>207</v>
      </c>
      <c r="O34" s="53" t="s">
        <v>30</v>
      </c>
      <c r="P34" s="53" t="s">
        <v>208</v>
      </c>
      <c r="Q34" s="53" t="s">
        <v>30</v>
      </c>
      <c r="R34" s="23"/>
    </row>
    <row r="35" spans="1:18" s="8" customFormat="1" ht="141.75" x14ac:dyDescent="0.25">
      <c r="A35" s="9">
        <f t="shared" si="1"/>
        <v>24</v>
      </c>
      <c r="B35" s="32" t="s">
        <v>209</v>
      </c>
      <c r="C35" s="9"/>
      <c r="D35" s="10"/>
      <c r="E35" s="11" t="s">
        <v>22</v>
      </c>
      <c r="F35" s="10" t="s">
        <v>210</v>
      </c>
      <c r="G35" s="10" t="s">
        <v>211</v>
      </c>
      <c r="H35" s="10" t="s">
        <v>212</v>
      </c>
      <c r="I35" s="9" t="s">
        <v>36</v>
      </c>
      <c r="J35" s="12" t="s">
        <v>59</v>
      </c>
      <c r="K35" s="51" t="s">
        <v>28</v>
      </c>
      <c r="L35" s="52" t="s">
        <v>59</v>
      </c>
      <c r="M35" s="52" t="s">
        <v>213</v>
      </c>
      <c r="N35" s="53" t="s">
        <v>214</v>
      </c>
      <c r="O35" s="53" t="s">
        <v>149</v>
      </c>
      <c r="P35" s="53" t="s">
        <v>215</v>
      </c>
      <c r="Q35" s="53" t="s">
        <v>30</v>
      </c>
      <c r="R35" s="23"/>
    </row>
    <row r="36" spans="1:18" s="8" customFormat="1" ht="157.5" x14ac:dyDescent="0.25">
      <c r="A36" s="9" t="s">
        <v>176</v>
      </c>
      <c r="B36" s="32" t="s">
        <v>209</v>
      </c>
      <c r="C36" s="9"/>
      <c r="D36" s="10"/>
      <c r="E36" s="11" t="s">
        <v>22</v>
      </c>
      <c r="F36" s="10"/>
      <c r="G36" s="10"/>
      <c r="H36" s="10"/>
      <c r="I36" s="9"/>
      <c r="J36" s="12"/>
      <c r="K36" s="51" t="s">
        <v>28</v>
      </c>
      <c r="L36" s="52" t="s">
        <v>59</v>
      </c>
      <c r="M36" s="52" t="s">
        <v>216</v>
      </c>
      <c r="N36" s="53" t="s">
        <v>217</v>
      </c>
      <c r="O36" s="53" t="s">
        <v>149</v>
      </c>
      <c r="P36" s="53" t="s">
        <v>218</v>
      </c>
      <c r="Q36" s="53"/>
      <c r="R36" s="23"/>
    </row>
    <row r="37" spans="1:18" s="8" customFormat="1" ht="78.75" x14ac:dyDescent="0.25">
      <c r="A37" s="9">
        <f>A35+1</f>
        <v>25</v>
      </c>
      <c r="B37" s="32" t="s">
        <v>219</v>
      </c>
      <c r="C37" s="9"/>
      <c r="D37" s="10"/>
      <c r="E37" s="11" t="s">
        <v>22</v>
      </c>
      <c r="F37" s="10" t="s">
        <v>220</v>
      </c>
      <c r="G37" s="10" t="s">
        <v>221</v>
      </c>
      <c r="H37" s="10" t="s">
        <v>222</v>
      </c>
      <c r="I37" s="9" t="s">
        <v>36</v>
      </c>
      <c r="J37" s="12" t="s">
        <v>78</v>
      </c>
      <c r="K37" s="51" t="s">
        <v>28</v>
      </c>
      <c r="L37" s="52" t="s">
        <v>59</v>
      </c>
      <c r="M37" s="52"/>
      <c r="N37" s="53" t="s">
        <v>223</v>
      </c>
      <c r="O37" s="53" t="s">
        <v>224</v>
      </c>
      <c r="P37" s="53" t="s">
        <v>225</v>
      </c>
      <c r="Q37" s="53" t="s">
        <v>30</v>
      </c>
      <c r="R37" s="23"/>
    </row>
    <row r="38" spans="1:18" s="8" customFormat="1" ht="47.25" x14ac:dyDescent="0.25">
      <c r="A38" s="9">
        <f t="shared" si="1"/>
        <v>26</v>
      </c>
      <c r="B38" s="32" t="s">
        <v>226</v>
      </c>
      <c r="C38" s="9" t="s">
        <v>227</v>
      </c>
      <c r="D38" s="10"/>
      <c r="E38" s="11" t="s">
        <v>22</v>
      </c>
      <c r="F38" s="10" t="s">
        <v>228</v>
      </c>
      <c r="G38" s="10" t="s">
        <v>229</v>
      </c>
      <c r="H38" s="10" t="s">
        <v>230</v>
      </c>
      <c r="I38" s="9" t="s">
        <v>231</v>
      </c>
      <c r="J38" s="12" t="s">
        <v>27</v>
      </c>
      <c r="K38" s="51" t="s">
        <v>28</v>
      </c>
      <c r="L38" s="52" t="s">
        <v>27</v>
      </c>
      <c r="M38" s="52"/>
      <c r="N38" s="53" t="s">
        <v>232</v>
      </c>
      <c r="O38" s="53" t="s">
        <v>233</v>
      </c>
      <c r="P38" s="53" t="s">
        <v>30</v>
      </c>
      <c r="Q38" s="53" t="s">
        <v>30</v>
      </c>
      <c r="R38" s="23"/>
    </row>
    <row r="39" spans="1:18" s="8" customFormat="1" ht="78.75" x14ac:dyDescent="0.25">
      <c r="A39" s="9">
        <f t="shared" si="1"/>
        <v>27</v>
      </c>
      <c r="B39" s="32" t="s">
        <v>234</v>
      </c>
      <c r="C39" s="9"/>
      <c r="D39" s="10"/>
      <c r="E39" s="11" t="s">
        <v>22</v>
      </c>
      <c r="F39" s="10" t="s">
        <v>235</v>
      </c>
      <c r="G39" s="10" t="s">
        <v>236</v>
      </c>
      <c r="H39" s="10" t="s">
        <v>25</v>
      </c>
      <c r="I39" s="9" t="s">
        <v>26</v>
      </c>
      <c r="J39" s="12" t="s">
        <v>59</v>
      </c>
      <c r="K39" s="51" t="s">
        <v>28</v>
      </c>
      <c r="L39" s="52" t="s">
        <v>59</v>
      </c>
      <c r="M39" s="52"/>
      <c r="N39" s="53" t="s">
        <v>237</v>
      </c>
      <c r="O39" s="53" t="s">
        <v>30</v>
      </c>
      <c r="P39" s="53" t="s">
        <v>238</v>
      </c>
      <c r="Q39" s="53" t="s">
        <v>30</v>
      </c>
      <c r="R39" s="23"/>
    </row>
    <row r="40" spans="1:18" s="8" customFormat="1" ht="47.25" x14ac:dyDescent="0.25">
      <c r="A40" s="9">
        <f>A39+1</f>
        <v>28</v>
      </c>
      <c r="B40" s="32" t="s">
        <v>239</v>
      </c>
      <c r="C40" s="9" t="s">
        <v>227</v>
      </c>
      <c r="D40" s="10"/>
      <c r="E40" s="11" t="s">
        <v>22</v>
      </c>
      <c r="F40" s="43" t="s">
        <v>240</v>
      </c>
      <c r="G40" s="43" t="s">
        <v>241</v>
      </c>
      <c r="H40" s="43" t="s">
        <v>242</v>
      </c>
      <c r="I40" s="9" t="s">
        <v>36</v>
      </c>
      <c r="J40" s="12" t="s">
        <v>27</v>
      </c>
      <c r="K40" s="51" t="s">
        <v>28</v>
      </c>
      <c r="L40" s="52" t="s">
        <v>27</v>
      </c>
      <c r="M40" s="52" t="s">
        <v>125</v>
      </c>
      <c r="N40" s="53" t="s">
        <v>243</v>
      </c>
      <c r="O40" s="53" t="s">
        <v>244</v>
      </c>
      <c r="P40" s="53" t="s">
        <v>30</v>
      </c>
      <c r="Q40" s="53" t="s">
        <v>30</v>
      </c>
      <c r="R40" s="23"/>
    </row>
    <row r="41" spans="1:18" s="8" customFormat="1" ht="31.5" x14ac:dyDescent="0.25">
      <c r="A41" s="9">
        <f t="shared" si="1"/>
        <v>29</v>
      </c>
      <c r="B41" s="32" t="s">
        <v>245</v>
      </c>
      <c r="C41" s="9"/>
      <c r="D41" s="10"/>
      <c r="E41" s="11" t="s">
        <v>22</v>
      </c>
      <c r="F41" s="10" t="s">
        <v>246</v>
      </c>
      <c r="G41" s="10" t="s">
        <v>247</v>
      </c>
      <c r="H41" s="10" t="s">
        <v>25</v>
      </c>
      <c r="I41" s="9" t="s">
        <v>26</v>
      </c>
      <c r="J41" s="12" t="s">
        <v>27</v>
      </c>
      <c r="K41" s="51" t="s">
        <v>28</v>
      </c>
      <c r="L41" s="52" t="s">
        <v>27</v>
      </c>
      <c r="M41" s="52"/>
      <c r="N41" s="53" t="s">
        <v>248</v>
      </c>
      <c r="O41" s="53" t="s">
        <v>30</v>
      </c>
      <c r="P41" s="53" t="s">
        <v>30</v>
      </c>
      <c r="Q41" s="53" t="s">
        <v>30</v>
      </c>
      <c r="R41" s="23"/>
    </row>
    <row r="42" spans="1:18" s="8" customFormat="1" ht="47.25" x14ac:dyDescent="0.25">
      <c r="A42" s="9">
        <f t="shared" si="1"/>
        <v>30</v>
      </c>
      <c r="B42" s="32" t="s">
        <v>249</v>
      </c>
      <c r="C42" s="9" t="s">
        <v>227</v>
      </c>
      <c r="D42" s="10"/>
      <c r="E42" s="11" t="s">
        <v>22</v>
      </c>
      <c r="F42" s="10" t="s">
        <v>250</v>
      </c>
      <c r="G42" s="10" t="s">
        <v>251</v>
      </c>
      <c r="H42" s="10" t="s">
        <v>25</v>
      </c>
      <c r="I42" s="9" t="s">
        <v>26</v>
      </c>
      <c r="J42" s="12" t="s">
        <v>27</v>
      </c>
      <c r="K42" s="51" t="s">
        <v>28</v>
      </c>
      <c r="L42" s="52" t="s">
        <v>27</v>
      </c>
      <c r="M42" s="52" t="s">
        <v>125</v>
      </c>
      <c r="N42" s="53" t="s">
        <v>252</v>
      </c>
      <c r="O42" s="53" t="s">
        <v>30</v>
      </c>
      <c r="P42" s="53" t="s">
        <v>30</v>
      </c>
      <c r="Q42" s="53" t="s">
        <v>30</v>
      </c>
      <c r="R42" s="23"/>
    </row>
    <row r="43" spans="1:18" s="8" customFormat="1" ht="47.25" x14ac:dyDescent="0.25">
      <c r="A43" s="9">
        <f>A42+1</f>
        <v>31</v>
      </c>
      <c r="B43" s="32" t="s">
        <v>253</v>
      </c>
      <c r="C43" s="9"/>
      <c r="D43" s="10"/>
      <c r="E43" s="11" t="s">
        <v>22</v>
      </c>
      <c r="F43" s="10" t="s">
        <v>254</v>
      </c>
      <c r="G43" s="10" t="s">
        <v>255</v>
      </c>
      <c r="H43" s="10" t="s">
        <v>256</v>
      </c>
      <c r="I43" s="9" t="s">
        <v>36</v>
      </c>
      <c r="J43" s="12" t="s">
        <v>27</v>
      </c>
      <c r="K43" s="51" t="s">
        <v>28</v>
      </c>
      <c r="L43" s="52" t="s">
        <v>27</v>
      </c>
      <c r="M43" s="52" t="s">
        <v>125</v>
      </c>
      <c r="N43" s="53" t="s">
        <v>257</v>
      </c>
      <c r="O43" s="53" t="s">
        <v>258</v>
      </c>
      <c r="P43" s="53" t="s">
        <v>30</v>
      </c>
      <c r="Q43" s="53" t="s">
        <v>30</v>
      </c>
      <c r="R43" s="23"/>
    </row>
    <row r="44" spans="1:18" s="8" customFormat="1" ht="94.5" x14ac:dyDescent="0.25">
      <c r="A44" s="9">
        <f>A43+1</f>
        <v>32</v>
      </c>
      <c r="B44" s="32" t="s">
        <v>259</v>
      </c>
      <c r="C44" s="9"/>
      <c r="D44" s="10"/>
      <c r="E44" s="11" t="s">
        <v>22</v>
      </c>
      <c r="F44" s="10" t="s">
        <v>260</v>
      </c>
      <c r="G44" s="10" t="s">
        <v>261</v>
      </c>
      <c r="H44" s="10" t="s">
        <v>262</v>
      </c>
      <c r="I44" s="9" t="s">
        <v>263</v>
      </c>
      <c r="J44" s="12" t="s">
        <v>59</v>
      </c>
      <c r="K44" s="51" t="s">
        <v>28</v>
      </c>
      <c r="L44" s="52" t="s">
        <v>59</v>
      </c>
      <c r="M44" s="52"/>
      <c r="N44" s="53" t="s">
        <v>264</v>
      </c>
      <c r="O44" s="53" t="s">
        <v>149</v>
      </c>
      <c r="P44" s="53" t="s">
        <v>265</v>
      </c>
      <c r="Q44" s="53" t="s">
        <v>30</v>
      </c>
      <c r="R44" s="23"/>
    </row>
    <row r="45" spans="1:18" s="8" customFormat="1" ht="78.75" x14ac:dyDescent="0.25">
      <c r="A45" s="9">
        <f>A44+1</f>
        <v>33</v>
      </c>
      <c r="B45" s="32" t="s">
        <v>266</v>
      </c>
      <c r="C45" s="9"/>
      <c r="D45" s="10"/>
      <c r="E45" s="11" t="s">
        <v>22</v>
      </c>
      <c r="F45" s="10" t="s">
        <v>267</v>
      </c>
      <c r="G45" s="10" t="s">
        <v>268</v>
      </c>
      <c r="H45" s="10" t="s">
        <v>269</v>
      </c>
      <c r="I45" s="9" t="s">
        <v>185</v>
      </c>
      <c r="J45" s="12" t="s">
        <v>59</v>
      </c>
      <c r="K45" s="51" t="s">
        <v>28</v>
      </c>
      <c r="L45" s="52" t="s">
        <v>59</v>
      </c>
      <c r="M45" s="52"/>
      <c r="N45" s="53" t="s">
        <v>270</v>
      </c>
      <c r="O45" s="53" t="s">
        <v>271</v>
      </c>
      <c r="P45" s="53" t="s">
        <v>272</v>
      </c>
      <c r="Q45" s="53" t="s">
        <v>30</v>
      </c>
      <c r="R45" s="23"/>
    </row>
    <row r="46" spans="1:18" s="8" customFormat="1" ht="78.75" x14ac:dyDescent="0.25">
      <c r="A46" s="9">
        <f t="shared" si="1"/>
        <v>34</v>
      </c>
      <c r="B46" s="32" t="s">
        <v>273</v>
      </c>
      <c r="C46" s="9"/>
      <c r="D46" s="10"/>
      <c r="E46" s="11" t="s">
        <v>22</v>
      </c>
      <c r="F46" s="10" t="s">
        <v>274</v>
      </c>
      <c r="G46" s="10" t="s">
        <v>275</v>
      </c>
      <c r="H46" s="10" t="s">
        <v>276</v>
      </c>
      <c r="I46" s="9" t="s">
        <v>185</v>
      </c>
      <c r="J46" s="12" t="s">
        <v>59</v>
      </c>
      <c r="K46" s="51" t="s">
        <v>28</v>
      </c>
      <c r="L46" s="52" t="s">
        <v>59</v>
      </c>
      <c r="M46" s="52"/>
      <c r="N46" s="53" t="s">
        <v>277</v>
      </c>
      <c r="O46" s="53" t="s">
        <v>278</v>
      </c>
      <c r="P46" s="53" t="s">
        <v>279</v>
      </c>
      <c r="Q46" s="53" t="s">
        <v>30</v>
      </c>
      <c r="R46" s="23"/>
    </row>
    <row r="47" spans="1:18" s="13" customFormat="1" ht="78.75" x14ac:dyDescent="0.25">
      <c r="A47" s="9">
        <f t="shared" si="1"/>
        <v>35</v>
      </c>
      <c r="B47" s="32" t="s">
        <v>280</v>
      </c>
      <c r="C47" s="9" t="s">
        <v>32</v>
      </c>
      <c r="D47" s="10"/>
      <c r="E47" s="11" t="s">
        <v>22</v>
      </c>
      <c r="F47" s="10" t="s">
        <v>281</v>
      </c>
      <c r="G47" s="10" t="s">
        <v>282</v>
      </c>
      <c r="H47" s="10" t="s">
        <v>283</v>
      </c>
      <c r="I47" s="9" t="s">
        <v>263</v>
      </c>
      <c r="J47" s="12" t="s">
        <v>59</v>
      </c>
      <c r="K47" s="51" t="s">
        <v>28</v>
      </c>
      <c r="L47" s="52" t="s">
        <v>59</v>
      </c>
      <c r="M47" s="52"/>
      <c r="N47" s="53" t="s">
        <v>284</v>
      </c>
      <c r="O47" s="53" t="s">
        <v>285</v>
      </c>
      <c r="P47" s="53" t="s">
        <v>286</v>
      </c>
      <c r="Q47" s="53" t="s">
        <v>30</v>
      </c>
      <c r="R47" s="23"/>
    </row>
    <row r="48" spans="1:18" s="13" customFormat="1" ht="78.75" x14ac:dyDescent="0.25">
      <c r="A48" s="9">
        <f>A47+1</f>
        <v>36</v>
      </c>
      <c r="B48" s="32" t="s">
        <v>287</v>
      </c>
      <c r="C48" s="9" t="s">
        <v>32</v>
      </c>
      <c r="D48" s="10"/>
      <c r="E48" s="11" t="s">
        <v>22</v>
      </c>
      <c r="F48" s="10" t="s">
        <v>288</v>
      </c>
      <c r="G48" s="10" t="s">
        <v>289</v>
      </c>
      <c r="H48" s="10" t="s">
        <v>290</v>
      </c>
      <c r="I48" s="9" t="s">
        <v>263</v>
      </c>
      <c r="J48" s="12" t="s">
        <v>59</v>
      </c>
      <c r="K48" s="51" t="s">
        <v>28</v>
      </c>
      <c r="L48" s="52" t="s">
        <v>59</v>
      </c>
      <c r="M48" s="52"/>
      <c r="N48" s="53" t="s">
        <v>291</v>
      </c>
      <c r="O48" s="53" t="s">
        <v>292</v>
      </c>
      <c r="P48" s="53" t="s">
        <v>293</v>
      </c>
      <c r="Q48" s="53" t="s">
        <v>30</v>
      </c>
      <c r="R48" s="23"/>
    </row>
    <row r="49" spans="1:18" s="13" customFormat="1" ht="78.75" x14ac:dyDescent="0.25">
      <c r="A49" s="9">
        <f>A48+1</f>
        <v>37</v>
      </c>
      <c r="B49" s="32" t="s">
        <v>294</v>
      </c>
      <c r="C49" s="9"/>
      <c r="D49" s="10"/>
      <c r="E49" s="11" t="s">
        <v>22</v>
      </c>
      <c r="F49" s="10" t="s">
        <v>295</v>
      </c>
      <c r="G49" s="10" t="s">
        <v>296</v>
      </c>
      <c r="H49" s="10" t="s">
        <v>262</v>
      </c>
      <c r="I49" s="9" t="s">
        <v>297</v>
      </c>
      <c r="J49" s="12" t="s">
        <v>59</v>
      </c>
      <c r="K49" s="51" t="s">
        <v>28</v>
      </c>
      <c r="L49" s="52" t="s">
        <v>59</v>
      </c>
      <c r="M49" s="52"/>
      <c r="N49" s="53" t="s">
        <v>298</v>
      </c>
      <c r="O49" s="53" t="s">
        <v>149</v>
      </c>
      <c r="P49" s="53" t="s">
        <v>299</v>
      </c>
      <c r="Q49" s="53" t="s">
        <v>30</v>
      </c>
      <c r="R49" s="23"/>
    </row>
    <row r="50" spans="1:18" s="13" customFormat="1" ht="126" x14ac:dyDescent="0.25">
      <c r="A50" s="9">
        <f>A49+1</f>
        <v>38</v>
      </c>
      <c r="B50" s="32" t="s">
        <v>300</v>
      </c>
      <c r="C50" s="9"/>
      <c r="D50" s="10"/>
      <c r="E50" s="11" t="s">
        <v>22</v>
      </c>
      <c r="F50" s="10" t="s">
        <v>301</v>
      </c>
      <c r="G50" s="10" t="s">
        <v>302</v>
      </c>
      <c r="H50" s="10" t="s">
        <v>25</v>
      </c>
      <c r="I50" s="9" t="s">
        <v>26</v>
      </c>
      <c r="J50" s="12" t="s">
        <v>59</v>
      </c>
      <c r="K50" s="51" t="s">
        <v>28</v>
      </c>
      <c r="L50" s="52" t="s">
        <v>59</v>
      </c>
      <c r="M50" s="52"/>
      <c r="N50" s="53" t="s">
        <v>303</v>
      </c>
      <c r="O50" s="53" t="s">
        <v>30</v>
      </c>
      <c r="P50" s="53" t="s">
        <v>304</v>
      </c>
      <c r="Q50" s="53" t="s">
        <v>30</v>
      </c>
      <c r="R50" s="23"/>
    </row>
    <row r="51" spans="1:18" s="13" customFormat="1" ht="126" x14ac:dyDescent="0.25">
      <c r="A51" s="9" t="s">
        <v>173</v>
      </c>
      <c r="B51" s="32" t="s">
        <v>300</v>
      </c>
      <c r="C51" s="9"/>
      <c r="D51" s="10"/>
      <c r="E51" s="11" t="s">
        <v>22</v>
      </c>
      <c r="F51" s="10"/>
      <c r="G51" s="10" t="s">
        <v>305</v>
      </c>
      <c r="H51" s="10" t="s">
        <v>25</v>
      </c>
      <c r="I51" s="9" t="s">
        <v>26</v>
      </c>
      <c r="J51" s="12" t="s">
        <v>59</v>
      </c>
      <c r="K51" s="51" t="s">
        <v>28</v>
      </c>
      <c r="L51" s="52" t="s">
        <v>59</v>
      </c>
      <c r="M51" s="52" t="s">
        <v>306</v>
      </c>
      <c r="N51" s="53" t="s">
        <v>307</v>
      </c>
      <c r="O51" s="53" t="s">
        <v>30</v>
      </c>
      <c r="P51" s="53" t="s">
        <v>308</v>
      </c>
      <c r="Q51" s="53" t="s">
        <v>30</v>
      </c>
      <c r="R51" s="23"/>
    </row>
    <row r="52" spans="1:18" s="13" customFormat="1" ht="252" x14ac:dyDescent="0.25">
      <c r="A52" s="9">
        <f>A50+1</f>
        <v>39</v>
      </c>
      <c r="B52" s="32" t="s">
        <v>309</v>
      </c>
      <c r="C52" s="9"/>
      <c r="D52" s="10"/>
      <c r="E52" s="11" t="s">
        <v>22</v>
      </c>
      <c r="F52" s="10" t="s">
        <v>310</v>
      </c>
      <c r="G52" s="10" t="s">
        <v>311</v>
      </c>
      <c r="H52" s="10" t="s">
        <v>212</v>
      </c>
      <c r="I52" s="9" t="s">
        <v>312</v>
      </c>
      <c r="J52" s="12" t="s">
        <v>59</v>
      </c>
      <c r="K52" s="51" t="s">
        <v>28</v>
      </c>
      <c r="L52" s="52" t="s">
        <v>59</v>
      </c>
      <c r="M52" s="52"/>
      <c r="N52" s="53" t="s">
        <v>313</v>
      </c>
      <c r="O52" s="53" t="s">
        <v>314</v>
      </c>
      <c r="P52" s="53" t="s">
        <v>315</v>
      </c>
      <c r="Q52" s="53" t="s">
        <v>30</v>
      </c>
      <c r="R52" s="23"/>
    </row>
    <row r="53" spans="1:18" s="13" customFormat="1" ht="236.25" x14ac:dyDescent="0.25">
      <c r="A53" s="9" t="s">
        <v>173</v>
      </c>
      <c r="B53" s="32" t="s">
        <v>309</v>
      </c>
      <c r="C53" s="9"/>
      <c r="D53" s="10"/>
      <c r="E53" s="11" t="s">
        <v>22</v>
      </c>
      <c r="F53" s="10"/>
      <c r="G53" s="10" t="s">
        <v>311</v>
      </c>
      <c r="H53" s="10" t="s">
        <v>212</v>
      </c>
      <c r="I53" s="9" t="s">
        <v>312</v>
      </c>
      <c r="J53" s="12" t="s">
        <v>59</v>
      </c>
      <c r="K53" s="51" t="s">
        <v>28</v>
      </c>
      <c r="L53" s="52" t="s">
        <v>59</v>
      </c>
      <c r="M53" s="52" t="s">
        <v>306</v>
      </c>
      <c r="N53" s="53" t="s">
        <v>316</v>
      </c>
      <c r="O53" s="53" t="s">
        <v>314</v>
      </c>
      <c r="P53" s="53" t="s">
        <v>317</v>
      </c>
      <c r="Q53" s="53" t="s">
        <v>30</v>
      </c>
      <c r="R53" s="23"/>
    </row>
    <row r="54" spans="1:18" s="13" customFormat="1" ht="31.5" x14ac:dyDescent="0.25">
      <c r="A54" s="9">
        <f>A52+1</f>
        <v>40</v>
      </c>
      <c r="B54" s="32" t="s">
        <v>318</v>
      </c>
      <c r="C54" s="9"/>
      <c r="D54" s="10"/>
      <c r="E54" s="11" t="s">
        <v>22</v>
      </c>
      <c r="F54" s="43" t="s">
        <v>319</v>
      </c>
      <c r="G54" s="43" t="s">
        <v>320</v>
      </c>
      <c r="H54" s="10" t="s">
        <v>25</v>
      </c>
      <c r="I54" s="9" t="s">
        <v>26</v>
      </c>
      <c r="J54" s="12" t="s">
        <v>27</v>
      </c>
      <c r="K54" s="51" t="s">
        <v>321</v>
      </c>
      <c r="L54" s="52" t="s">
        <v>27</v>
      </c>
      <c r="M54" s="52"/>
      <c r="N54" s="53" t="s">
        <v>322</v>
      </c>
      <c r="O54" s="53" t="s">
        <v>30</v>
      </c>
      <c r="P54" s="53" t="s">
        <v>30</v>
      </c>
      <c r="Q54" s="53" t="s">
        <v>30</v>
      </c>
      <c r="R54" s="23"/>
    </row>
    <row r="55" spans="1:18" s="13" customFormat="1" ht="31.5" x14ac:dyDescent="0.25">
      <c r="A55" s="9">
        <f>A54+1</f>
        <v>41</v>
      </c>
      <c r="B55" s="32" t="s">
        <v>323</v>
      </c>
      <c r="C55" s="9"/>
      <c r="D55" s="10"/>
      <c r="E55" s="11" t="s">
        <v>22</v>
      </c>
      <c r="F55" s="43" t="s">
        <v>324</v>
      </c>
      <c r="G55" s="43" t="s">
        <v>325</v>
      </c>
      <c r="H55" s="10" t="s">
        <v>25</v>
      </c>
      <c r="I55" s="9" t="s">
        <v>26</v>
      </c>
      <c r="J55" s="12" t="s">
        <v>27</v>
      </c>
      <c r="K55" s="51" t="s">
        <v>28</v>
      </c>
      <c r="L55" s="52" t="s">
        <v>27</v>
      </c>
      <c r="M55" s="52"/>
      <c r="N55" s="53" t="s">
        <v>326</v>
      </c>
      <c r="O55" s="53" t="s">
        <v>30</v>
      </c>
      <c r="P55" s="53" t="s">
        <v>30</v>
      </c>
      <c r="Q55" s="53" t="s">
        <v>30</v>
      </c>
      <c r="R55" s="23"/>
    </row>
    <row r="56" spans="1:18" s="23" customFormat="1" ht="15.75" hidden="1" x14ac:dyDescent="0.25">
      <c r="A56" s="19" t="s">
        <v>327</v>
      </c>
      <c r="B56" s="20" t="s">
        <v>328</v>
      </c>
      <c r="C56" s="20"/>
      <c r="D56" s="21"/>
      <c r="E56" s="19"/>
      <c r="F56" s="20"/>
      <c r="G56" s="20"/>
      <c r="H56" s="20"/>
      <c r="I56" s="20"/>
      <c r="J56" s="20"/>
      <c r="K56" s="41"/>
      <c r="L56" s="19"/>
      <c r="M56" s="39"/>
      <c r="N56" s="39"/>
      <c r="O56" s="22"/>
      <c r="P56" s="22"/>
      <c r="Q56" s="22"/>
    </row>
    <row r="57" spans="1:18" s="8" customFormat="1" ht="63" x14ac:dyDescent="0.25">
      <c r="A57" s="9">
        <f>A55+1</f>
        <v>42</v>
      </c>
      <c r="B57" s="32" t="s">
        <v>329</v>
      </c>
      <c r="C57" s="9" t="s">
        <v>32</v>
      </c>
      <c r="D57" s="10"/>
      <c r="E57" s="11" t="s">
        <v>22</v>
      </c>
      <c r="F57" s="10" t="s">
        <v>330</v>
      </c>
      <c r="G57" s="10" t="s">
        <v>331</v>
      </c>
      <c r="H57" s="10" t="s">
        <v>332</v>
      </c>
      <c r="I57" s="9" t="s">
        <v>36</v>
      </c>
      <c r="J57" s="12" t="s">
        <v>27</v>
      </c>
      <c r="K57" s="51" t="s">
        <v>28</v>
      </c>
      <c r="L57" s="52" t="s">
        <v>27</v>
      </c>
      <c r="M57" s="52"/>
      <c r="N57" s="53" t="s">
        <v>333</v>
      </c>
      <c r="O57" s="53" t="s">
        <v>334</v>
      </c>
      <c r="P57" s="53" t="s">
        <v>30</v>
      </c>
      <c r="Q57" s="53" t="s">
        <v>30</v>
      </c>
      <c r="R57" s="23"/>
    </row>
    <row r="58" spans="1:18" s="23" customFormat="1" ht="15.75" hidden="1" x14ac:dyDescent="0.25">
      <c r="A58" s="19" t="s">
        <v>335</v>
      </c>
      <c r="B58" s="20" t="s">
        <v>336</v>
      </c>
      <c r="C58" s="20"/>
      <c r="D58" s="21"/>
      <c r="E58" s="19"/>
      <c r="F58" s="20"/>
      <c r="G58" s="20"/>
      <c r="H58" s="20"/>
      <c r="I58" s="20"/>
      <c r="J58" s="20"/>
      <c r="K58" s="41"/>
      <c r="L58" s="19"/>
      <c r="M58" s="39"/>
      <c r="N58" s="39"/>
      <c r="O58" s="22"/>
      <c r="P58" s="22"/>
      <c r="Q58" s="22"/>
    </row>
    <row r="59" spans="1:18" s="8" customFormat="1" ht="204.75" x14ac:dyDescent="0.25">
      <c r="A59" s="9">
        <f>A57+1</f>
        <v>43</v>
      </c>
      <c r="B59" s="32" t="s">
        <v>337</v>
      </c>
      <c r="C59" s="9" t="s">
        <v>227</v>
      </c>
      <c r="D59" s="10"/>
      <c r="E59" s="11" t="s">
        <v>22</v>
      </c>
      <c r="F59" s="43" t="s">
        <v>338</v>
      </c>
      <c r="G59" s="43" t="s">
        <v>339</v>
      </c>
      <c r="H59" s="43" t="s">
        <v>340</v>
      </c>
      <c r="I59" s="9" t="s">
        <v>69</v>
      </c>
      <c r="J59" s="12" t="s">
        <v>27</v>
      </c>
      <c r="K59" s="54" t="s">
        <v>168</v>
      </c>
      <c r="L59" s="52" t="s">
        <v>59</v>
      </c>
      <c r="M59" s="52" t="s">
        <v>341</v>
      </c>
      <c r="N59" s="53" t="s">
        <v>342</v>
      </c>
      <c r="O59" s="53" t="s">
        <v>343</v>
      </c>
      <c r="P59" s="53" t="s">
        <v>344</v>
      </c>
      <c r="Q59" s="53" t="s">
        <v>345</v>
      </c>
      <c r="R59" s="23"/>
    </row>
    <row r="60" spans="1:18" s="8" customFormat="1" ht="94.5" x14ac:dyDescent="0.25">
      <c r="A60" s="9" t="s">
        <v>176</v>
      </c>
      <c r="B60" s="32" t="s">
        <v>337</v>
      </c>
      <c r="C60" s="9" t="s">
        <v>227</v>
      </c>
      <c r="D60" s="10"/>
      <c r="E60" s="11" t="s">
        <v>22</v>
      </c>
      <c r="F60" s="10"/>
      <c r="G60" s="10"/>
      <c r="H60" s="10"/>
      <c r="I60" s="9"/>
      <c r="J60" s="12"/>
      <c r="K60" s="54" t="s">
        <v>346</v>
      </c>
      <c r="L60" s="52" t="s">
        <v>27</v>
      </c>
      <c r="M60" s="52" t="s">
        <v>347</v>
      </c>
      <c r="N60" s="53" t="s">
        <v>348</v>
      </c>
      <c r="O60" s="53" t="s">
        <v>349</v>
      </c>
      <c r="P60" s="53" t="s">
        <v>30</v>
      </c>
      <c r="Q60" s="53" t="s">
        <v>30</v>
      </c>
      <c r="R60" s="23"/>
    </row>
    <row r="61" spans="1:18" s="8" customFormat="1" ht="220.5" x14ac:dyDescent="0.25">
      <c r="A61" s="9" t="s">
        <v>176</v>
      </c>
      <c r="B61" s="32" t="s">
        <v>337</v>
      </c>
      <c r="C61" s="9" t="s">
        <v>227</v>
      </c>
      <c r="D61" s="10"/>
      <c r="E61" s="11" t="s">
        <v>22</v>
      </c>
      <c r="F61" s="10"/>
      <c r="G61" s="10"/>
      <c r="H61" s="10"/>
      <c r="I61" s="9"/>
      <c r="J61" s="12"/>
      <c r="K61" s="54" t="s">
        <v>177</v>
      </c>
      <c r="L61" s="52" t="s">
        <v>59</v>
      </c>
      <c r="M61" s="52" t="s">
        <v>350</v>
      </c>
      <c r="N61" s="53" t="s">
        <v>351</v>
      </c>
      <c r="O61" s="53" t="s">
        <v>352</v>
      </c>
      <c r="P61" s="53" t="s">
        <v>353</v>
      </c>
      <c r="Q61" s="53" t="s">
        <v>354</v>
      </c>
      <c r="R61" s="23"/>
    </row>
    <row r="62" spans="1:18" s="8" customFormat="1" ht="47.25" x14ac:dyDescent="0.25">
      <c r="A62" s="9">
        <f>A59+1</f>
        <v>44</v>
      </c>
      <c r="B62" s="32" t="s">
        <v>355</v>
      </c>
      <c r="C62" s="9"/>
      <c r="D62" s="10"/>
      <c r="E62" s="11" t="s">
        <v>22</v>
      </c>
      <c r="F62" s="10" t="s">
        <v>356</v>
      </c>
      <c r="G62" s="10" t="s">
        <v>357</v>
      </c>
      <c r="H62" s="10" t="s">
        <v>25</v>
      </c>
      <c r="I62" s="9" t="s">
        <v>26</v>
      </c>
      <c r="J62" s="12" t="s">
        <v>27</v>
      </c>
      <c r="K62" s="51" t="s">
        <v>58</v>
      </c>
      <c r="L62" s="52" t="s">
        <v>27</v>
      </c>
      <c r="M62" s="52"/>
      <c r="N62" s="53" t="s">
        <v>358</v>
      </c>
      <c r="O62" s="53" t="s">
        <v>30</v>
      </c>
      <c r="P62" s="53" t="s">
        <v>30</v>
      </c>
      <c r="Q62" s="53" t="s">
        <v>30</v>
      </c>
      <c r="R62" s="23"/>
    </row>
    <row r="63" spans="1:18" s="8" customFormat="1" ht="78.75" x14ac:dyDescent="0.25">
      <c r="A63" s="9">
        <f>A62+1</f>
        <v>45</v>
      </c>
      <c r="B63" s="32" t="s">
        <v>359</v>
      </c>
      <c r="C63" s="9"/>
      <c r="D63" s="10"/>
      <c r="E63" s="11" t="s">
        <v>22</v>
      </c>
      <c r="F63" s="10" t="s">
        <v>360</v>
      </c>
      <c r="G63" s="10" t="s">
        <v>361</v>
      </c>
      <c r="H63" s="10" t="s">
        <v>362</v>
      </c>
      <c r="I63" s="9" t="s">
        <v>200</v>
      </c>
      <c r="J63" s="12" t="s">
        <v>59</v>
      </c>
      <c r="K63" s="51" t="s">
        <v>58</v>
      </c>
      <c r="L63" s="52" t="s">
        <v>59</v>
      </c>
      <c r="M63" s="52" t="s">
        <v>178</v>
      </c>
      <c r="N63" s="53" t="s">
        <v>363</v>
      </c>
      <c r="O63" s="53" t="s">
        <v>149</v>
      </c>
      <c r="P63" s="53" t="s">
        <v>364</v>
      </c>
      <c r="Q63" s="53" t="s">
        <v>30</v>
      </c>
      <c r="R63" s="23"/>
    </row>
    <row r="64" spans="1:18" s="8" customFormat="1" ht="78.75" x14ac:dyDescent="0.25">
      <c r="A64" s="9">
        <f>A63+1</f>
        <v>46</v>
      </c>
      <c r="B64" s="32" t="s">
        <v>365</v>
      </c>
      <c r="C64" s="9"/>
      <c r="D64" s="10"/>
      <c r="E64" s="11" t="s">
        <v>22</v>
      </c>
      <c r="F64" s="10" t="s">
        <v>366</v>
      </c>
      <c r="G64" s="10" t="s">
        <v>367</v>
      </c>
      <c r="H64" s="10" t="s">
        <v>362</v>
      </c>
      <c r="I64" s="9" t="s">
        <v>368</v>
      </c>
      <c r="J64" s="12" t="s">
        <v>59</v>
      </c>
      <c r="K64" s="51" t="s">
        <v>58</v>
      </c>
      <c r="L64" s="52" t="s">
        <v>59</v>
      </c>
      <c r="M64" s="52" t="s">
        <v>178</v>
      </c>
      <c r="N64" s="53" t="s">
        <v>369</v>
      </c>
      <c r="O64" s="53" t="s">
        <v>149</v>
      </c>
      <c r="P64" s="53" t="s">
        <v>370</v>
      </c>
      <c r="Q64" s="53" t="s">
        <v>30</v>
      </c>
      <c r="R64" s="23"/>
    </row>
    <row r="65" spans="1:18" s="8" customFormat="1" ht="78.75" x14ac:dyDescent="0.25">
      <c r="A65" s="9">
        <f>A64+1</f>
        <v>47</v>
      </c>
      <c r="B65" s="32" t="s">
        <v>371</v>
      </c>
      <c r="C65" s="9"/>
      <c r="D65" s="10"/>
      <c r="E65" s="11" t="s">
        <v>22</v>
      </c>
      <c r="F65" s="10" t="s">
        <v>372</v>
      </c>
      <c r="G65" s="10" t="s">
        <v>373</v>
      </c>
      <c r="H65" s="10" t="s">
        <v>362</v>
      </c>
      <c r="I65" s="9" t="s">
        <v>368</v>
      </c>
      <c r="J65" s="12" t="s">
        <v>59</v>
      </c>
      <c r="K65" s="51" t="s">
        <v>58</v>
      </c>
      <c r="L65" s="52" t="s">
        <v>59</v>
      </c>
      <c r="M65" s="52" t="s">
        <v>178</v>
      </c>
      <c r="N65" s="53" t="s">
        <v>374</v>
      </c>
      <c r="O65" s="53" t="s">
        <v>149</v>
      </c>
      <c r="P65" s="53" t="s">
        <v>375</v>
      </c>
      <c r="Q65" s="53" t="s">
        <v>30</v>
      </c>
      <c r="R65" s="23"/>
    </row>
    <row r="66" spans="1:18" s="23" customFormat="1" ht="15.75" hidden="1" x14ac:dyDescent="0.25">
      <c r="A66" s="19" t="s">
        <v>376</v>
      </c>
      <c r="B66" s="20" t="s">
        <v>377</v>
      </c>
      <c r="C66" s="20"/>
      <c r="D66" s="21"/>
      <c r="E66" s="19"/>
      <c r="F66" s="20"/>
      <c r="G66" s="20"/>
      <c r="H66" s="20"/>
      <c r="I66" s="20"/>
      <c r="J66" s="20"/>
      <c r="K66" s="41"/>
      <c r="L66" s="19"/>
      <c r="M66" s="39"/>
      <c r="N66" s="39"/>
      <c r="O66" s="22"/>
      <c r="P66" s="22"/>
      <c r="Q66" s="22"/>
    </row>
    <row r="67" spans="1:18" s="8" customFormat="1" ht="141.75" x14ac:dyDescent="0.25">
      <c r="A67" s="9">
        <f>A65+1</f>
        <v>48</v>
      </c>
      <c r="B67" s="32" t="s">
        <v>378</v>
      </c>
      <c r="C67" s="9"/>
      <c r="D67" s="10"/>
      <c r="E67" s="11" t="s">
        <v>22</v>
      </c>
      <c r="F67" s="10" t="s">
        <v>379</v>
      </c>
      <c r="G67" s="43" t="s">
        <v>380</v>
      </c>
      <c r="H67" s="43" t="s">
        <v>381</v>
      </c>
      <c r="I67" s="9" t="s">
        <v>185</v>
      </c>
      <c r="J67" s="12" t="s">
        <v>27</v>
      </c>
      <c r="K67" s="51" t="s">
        <v>58</v>
      </c>
      <c r="L67" s="52" t="s">
        <v>59</v>
      </c>
      <c r="M67" s="55" t="s">
        <v>60</v>
      </c>
      <c r="N67" s="53" t="s">
        <v>382</v>
      </c>
      <c r="O67" s="53" t="s">
        <v>383</v>
      </c>
      <c r="P67" s="53" t="s">
        <v>384</v>
      </c>
      <c r="Q67" s="53" t="s">
        <v>30</v>
      </c>
      <c r="R67" s="23"/>
    </row>
    <row r="68" spans="1:18" s="8" customFormat="1" ht="157.5" x14ac:dyDescent="0.25">
      <c r="A68" s="9">
        <f t="shared" ref="A68:A99" si="2">A67+1</f>
        <v>49</v>
      </c>
      <c r="B68" s="32" t="s">
        <v>385</v>
      </c>
      <c r="C68" s="9"/>
      <c r="D68" s="10"/>
      <c r="E68" s="11" t="s">
        <v>22</v>
      </c>
      <c r="F68" s="10" t="s">
        <v>386</v>
      </c>
      <c r="G68" s="10" t="s">
        <v>387</v>
      </c>
      <c r="H68" s="10" t="s">
        <v>388</v>
      </c>
      <c r="I68" s="9" t="s">
        <v>185</v>
      </c>
      <c r="J68" s="12" t="s">
        <v>27</v>
      </c>
      <c r="K68" s="51" t="s">
        <v>58</v>
      </c>
      <c r="L68" s="52" t="s">
        <v>59</v>
      </c>
      <c r="M68" s="55" t="s">
        <v>60</v>
      </c>
      <c r="N68" s="53" t="s">
        <v>389</v>
      </c>
      <c r="O68" s="53" t="s">
        <v>390</v>
      </c>
      <c r="P68" s="53" t="s">
        <v>391</v>
      </c>
      <c r="Q68" s="53" t="s">
        <v>30</v>
      </c>
      <c r="R68" s="23"/>
    </row>
    <row r="69" spans="1:18" s="8" customFormat="1" ht="94.5" x14ac:dyDescent="0.25">
      <c r="A69" s="9">
        <f t="shared" si="2"/>
        <v>50</v>
      </c>
      <c r="B69" s="32" t="s">
        <v>392</v>
      </c>
      <c r="C69" s="9"/>
      <c r="D69" s="10"/>
      <c r="E69" s="11" t="s">
        <v>22</v>
      </c>
      <c r="F69" s="10" t="s">
        <v>393</v>
      </c>
      <c r="G69" s="10" t="s">
        <v>394</v>
      </c>
      <c r="H69" s="10" t="s">
        <v>395</v>
      </c>
      <c r="I69" s="9" t="s">
        <v>185</v>
      </c>
      <c r="J69" s="12" t="s">
        <v>59</v>
      </c>
      <c r="K69" s="51" t="s">
        <v>58</v>
      </c>
      <c r="L69" s="52" t="s">
        <v>59</v>
      </c>
      <c r="M69" s="55" t="s">
        <v>396</v>
      </c>
      <c r="N69" s="53" t="s">
        <v>397</v>
      </c>
      <c r="O69" s="53" t="s">
        <v>398</v>
      </c>
      <c r="P69" s="53" t="s">
        <v>399</v>
      </c>
      <c r="Q69" s="53" t="s">
        <v>30</v>
      </c>
      <c r="R69" s="23"/>
    </row>
    <row r="70" spans="1:18" s="8" customFormat="1" ht="157.5" x14ac:dyDescent="0.25">
      <c r="A70" s="9" t="s">
        <v>176</v>
      </c>
      <c r="B70" s="32" t="s">
        <v>392</v>
      </c>
      <c r="C70" s="9"/>
      <c r="D70" s="10"/>
      <c r="E70" s="11" t="s">
        <v>22</v>
      </c>
      <c r="F70" s="10"/>
      <c r="G70" s="10"/>
      <c r="H70" s="10"/>
      <c r="I70" s="9"/>
      <c r="J70" s="12"/>
      <c r="K70" s="51" t="s">
        <v>79</v>
      </c>
      <c r="L70" s="52" t="s">
        <v>59</v>
      </c>
      <c r="M70" s="55"/>
      <c r="N70" s="53" t="s">
        <v>400</v>
      </c>
      <c r="O70" s="53" t="s">
        <v>401</v>
      </c>
      <c r="P70" s="53" t="s">
        <v>402</v>
      </c>
      <c r="Q70" s="53" t="s">
        <v>30</v>
      </c>
      <c r="R70" s="23"/>
    </row>
    <row r="71" spans="1:18" s="23" customFormat="1" ht="15.75" hidden="1" x14ac:dyDescent="0.25">
      <c r="A71" s="19" t="s">
        <v>403</v>
      </c>
      <c r="B71" s="20" t="s">
        <v>404</v>
      </c>
      <c r="C71" s="20"/>
      <c r="D71" s="21"/>
      <c r="E71" s="19"/>
      <c r="F71" s="20"/>
      <c r="G71" s="20"/>
      <c r="H71" s="20"/>
      <c r="I71" s="20"/>
      <c r="J71" s="20"/>
      <c r="K71" s="41"/>
      <c r="L71" s="19"/>
      <c r="M71" s="39"/>
      <c r="N71" s="39"/>
      <c r="O71" s="22"/>
      <c r="P71" s="22"/>
      <c r="Q71" s="22"/>
    </row>
    <row r="72" spans="1:18" s="13" customFormat="1" ht="63" x14ac:dyDescent="0.25">
      <c r="A72" s="9">
        <f>A69+1</f>
        <v>51</v>
      </c>
      <c r="B72" s="32" t="s">
        <v>405</v>
      </c>
      <c r="C72" s="9"/>
      <c r="D72" s="10"/>
      <c r="E72" s="11" t="s">
        <v>22</v>
      </c>
      <c r="F72" s="43" t="s">
        <v>406</v>
      </c>
      <c r="G72" s="43" t="s">
        <v>407</v>
      </c>
      <c r="H72" s="43" t="s">
        <v>408</v>
      </c>
      <c r="I72" s="9" t="s">
        <v>263</v>
      </c>
      <c r="J72" s="12" t="s">
        <v>59</v>
      </c>
      <c r="K72" s="51" t="s">
        <v>79</v>
      </c>
      <c r="L72" s="52" t="s">
        <v>59</v>
      </c>
      <c r="M72" s="55" t="s">
        <v>409</v>
      </c>
      <c r="N72" s="53" t="s">
        <v>410</v>
      </c>
      <c r="O72" s="53" t="s">
        <v>411</v>
      </c>
      <c r="P72" s="53" t="s">
        <v>412</v>
      </c>
      <c r="Q72" s="53" t="s">
        <v>30</v>
      </c>
      <c r="R72" s="23"/>
    </row>
    <row r="73" spans="1:18" s="13" customFormat="1" ht="141.75" x14ac:dyDescent="0.25">
      <c r="A73" s="9">
        <f t="shared" si="2"/>
        <v>52</v>
      </c>
      <c r="B73" s="32" t="s">
        <v>413</v>
      </c>
      <c r="C73" s="9"/>
      <c r="D73" s="10"/>
      <c r="E73" s="11" t="s">
        <v>22</v>
      </c>
      <c r="F73" s="10" t="s">
        <v>414</v>
      </c>
      <c r="G73" s="10" t="s">
        <v>415</v>
      </c>
      <c r="H73" s="10" t="s">
        <v>416</v>
      </c>
      <c r="I73" s="9" t="s">
        <v>263</v>
      </c>
      <c r="J73" s="12" t="s">
        <v>59</v>
      </c>
      <c r="K73" s="51" t="s">
        <v>79</v>
      </c>
      <c r="L73" s="52" t="s">
        <v>59</v>
      </c>
      <c r="M73" s="55"/>
      <c r="N73" s="53" t="s">
        <v>417</v>
      </c>
      <c r="O73" s="53" t="s">
        <v>418</v>
      </c>
      <c r="P73" s="53" t="s">
        <v>419</v>
      </c>
      <c r="Q73" s="53" t="s">
        <v>30</v>
      </c>
      <c r="R73" s="23"/>
    </row>
    <row r="74" spans="1:18" s="13" customFormat="1" ht="299.25" x14ac:dyDescent="0.25">
      <c r="A74" s="9">
        <f t="shared" si="2"/>
        <v>53</v>
      </c>
      <c r="B74" s="32" t="s">
        <v>420</v>
      </c>
      <c r="C74" s="9"/>
      <c r="D74" s="10"/>
      <c r="E74" s="11" t="s">
        <v>22</v>
      </c>
      <c r="F74" s="10" t="s">
        <v>421</v>
      </c>
      <c r="G74" s="10" t="s">
        <v>422</v>
      </c>
      <c r="H74" s="10" t="s">
        <v>423</v>
      </c>
      <c r="I74" s="9" t="s">
        <v>263</v>
      </c>
      <c r="J74" s="12" t="s">
        <v>59</v>
      </c>
      <c r="K74" s="51" t="s">
        <v>79</v>
      </c>
      <c r="L74" s="52" t="s">
        <v>59</v>
      </c>
      <c r="M74" s="55"/>
      <c r="N74" s="53" t="s">
        <v>424</v>
      </c>
      <c r="O74" s="53" t="s">
        <v>425</v>
      </c>
      <c r="P74" s="53" t="s">
        <v>426</v>
      </c>
      <c r="Q74" s="53" t="s">
        <v>30</v>
      </c>
      <c r="R74" s="23"/>
    </row>
    <row r="75" spans="1:18" s="13" customFormat="1" ht="47.25" x14ac:dyDescent="0.25">
      <c r="A75" s="9">
        <f t="shared" si="2"/>
        <v>54</v>
      </c>
      <c r="B75" s="32" t="s">
        <v>427</v>
      </c>
      <c r="C75" s="9"/>
      <c r="D75" s="10"/>
      <c r="E75" s="11" t="s">
        <v>22</v>
      </c>
      <c r="F75" s="10" t="s">
        <v>428</v>
      </c>
      <c r="G75" s="10" t="s">
        <v>429</v>
      </c>
      <c r="H75" s="10" t="s">
        <v>430</v>
      </c>
      <c r="I75" s="9" t="s">
        <v>263</v>
      </c>
      <c r="J75" s="12" t="s">
        <v>78</v>
      </c>
      <c r="K75" s="51" t="s">
        <v>79</v>
      </c>
      <c r="L75" s="52" t="s">
        <v>27</v>
      </c>
      <c r="M75" s="55"/>
      <c r="N75" s="53" t="s">
        <v>431</v>
      </c>
      <c r="O75" s="53" t="s">
        <v>432</v>
      </c>
      <c r="P75" s="53" t="s">
        <v>30</v>
      </c>
      <c r="Q75" s="53" t="s">
        <v>30</v>
      </c>
      <c r="R75" s="23"/>
    </row>
    <row r="76" spans="1:18" s="13" customFormat="1" ht="189" x14ac:dyDescent="0.25">
      <c r="A76" s="9"/>
      <c r="B76" s="32" t="s">
        <v>427</v>
      </c>
      <c r="C76" s="9"/>
      <c r="D76" s="10"/>
      <c r="E76" s="11" t="s">
        <v>22</v>
      </c>
      <c r="F76" s="10"/>
      <c r="G76" s="10"/>
      <c r="H76" s="10"/>
      <c r="I76" s="9"/>
      <c r="J76" s="12"/>
      <c r="K76" s="51" t="s">
        <v>79</v>
      </c>
      <c r="L76" s="52" t="s">
        <v>59</v>
      </c>
      <c r="M76" s="55" t="s">
        <v>433</v>
      </c>
      <c r="N76" s="53" t="s">
        <v>434</v>
      </c>
      <c r="O76" s="53" t="s">
        <v>435</v>
      </c>
      <c r="P76" s="53" t="s">
        <v>436</v>
      </c>
      <c r="Q76" s="53" t="s">
        <v>30</v>
      </c>
      <c r="R76" s="23"/>
    </row>
    <row r="77" spans="1:18" s="13" customFormat="1" ht="78.75" x14ac:dyDescent="0.25">
      <c r="A77" s="9">
        <f>A75+1</f>
        <v>55</v>
      </c>
      <c r="B77" s="32" t="s">
        <v>437</v>
      </c>
      <c r="C77" s="9" t="s">
        <v>32</v>
      </c>
      <c r="D77" s="10"/>
      <c r="E77" s="11" t="s">
        <v>22</v>
      </c>
      <c r="F77" s="43" t="s">
        <v>438</v>
      </c>
      <c r="G77" s="43" t="s">
        <v>439</v>
      </c>
      <c r="H77" s="43" t="s">
        <v>440</v>
      </c>
      <c r="I77" s="9" t="s">
        <v>263</v>
      </c>
      <c r="J77" s="12" t="s">
        <v>59</v>
      </c>
      <c r="K77" s="54" t="s">
        <v>168</v>
      </c>
      <c r="L77" s="52" t="s">
        <v>59</v>
      </c>
      <c r="M77" s="55" t="s">
        <v>441</v>
      </c>
      <c r="N77" s="53" t="s">
        <v>442</v>
      </c>
      <c r="O77" s="53" t="s">
        <v>149</v>
      </c>
      <c r="P77" s="53" t="s">
        <v>443</v>
      </c>
      <c r="Q77" s="53" t="s">
        <v>30</v>
      </c>
      <c r="R77" s="23"/>
    </row>
    <row r="78" spans="1:18" s="13" customFormat="1" ht="78.75" x14ac:dyDescent="0.25">
      <c r="A78" s="9" t="s">
        <v>176</v>
      </c>
      <c r="B78" s="32" t="s">
        <v>437</v>
      </c>
      <c r="C78" s="9" t="s">
        <v>32</v>
      </c>
      <c r="D78" s="10"/>
      <c r="E78" s="11" t="s">
        <v>22</v>
      </c>
      <c r="F78" s="10"/>
      <c r="G78" s="10"/>
      <c r="H78" s="10"/>
      <c r="I78" s="9"/>
      <c r="J78" s="12"/>
      <c r="K78" s="54" t="s">
        <v>177</v>
      </c>
      <c r="L78" s="52" t="s">
        <v>59</v>
      </c>
      <c r="M78" s="55" t="s">
        <v>444</v>
      </c>
      <c r="N78" s="53" t="s">
        <v>445</v>
      </c>
      <c r="O78" s="53" t="s">
        <v>149</v>
      </c>
      <c r="P78" s="53" t="s">
        <v>446</v>
      </c>
      <c r="Q78" s="53" t="s">
        <v>30</v>
      </c>
      <c r="R78" s="23"/>
    </row>
    <row r="79" spans="1:18" s="13" customFormat="1" ht="73.5" customHeight="1" x14ac:dyDescent="0.25">
      <c r="A79" s="9">
        <f>A77+1</f>
        <v>56</v>
      </c>
      <c r="B79" s="32" t="s">
        <v>447</v>
      </c>
      <c r="C79" s="9" t="s">
        <v>32</v>
      </c>
      <c r="D79" s="10"/>
      <c r="E79" s="11" t="s">
        <v>22</v>
      </c>
      <c r="F79" s="43" t="s">
        <v>448</v>
      </c>
      <c r="G79" s="43" t="s">
        <v>449</v>
      </c>
      <c r="H79" s="43" t="s">
        <v>450</v>
      </c>
      <c r="I79" s="9" t="s">
        <v>185</v>
      </c>
      <c r="J79" s="12" t="s">
        <v>27</v>
      </c>
      <c r="K79" s="51" t="s">
        <v>79</v>
      </c>
      <c r="L79" s="52" t="s">
        <v>27</v>
      </c>
      <c r="M79" s="55"/>
      <c r="N79" s="53" t="s">
        <v>451</v>
      </c>
      <c r="O79" s="53" t="s">
        <v>452</v>
      </c>
      <c r="P79" s="53" t="s">
        <v>30</v>
      </c>
      <c r="Q79" s="53" t="s">
        <v>30</v>
      </c>
      <c r="R79" s="23"/>
    </row>
    <row r="80" spans="1:18" s="8" customFormat="1" ht="78.75" x14ac:dyDescent="0.25">
      <c r="A80" s="9">
        <f>A79+1</f>
        <v>57</v>
      </c>
      <c r="B80" s="32" t="s">
        <v>453</v>
      </c>
      <c r="C80" s="9"/>
      <c r="D80" s="10"/>
      <c r="E80" s="11" t="s">
        <v>22</v>
      </c>
      <c r="F80" s="10" t="s">
        <v>454</v>
      </c>
      <c r="G80" s="10" t="s">
        <v>455</v>
      </c>
      <c r="H80" s="10" t="s">
        <v>456</v>
      </c>
      <c r="I80" s="9" t="s">
        <v>457</v>
      </c>
      <c r="J80" s="12" t="s">
        <v>59</v>
      </c>
      <c r="K80" s="54" t="s">
        <v>168</v>
      </c>
      <c r="L80" s="52" t="s">
        <v>59</v>
      </c>
      <c r="M80" s="55"/>
      <c r="N80" s="53" t="s">
        <v>369</v>
      </c>
      <c r="O80" s="53" t="s">
        <v>149</v>
      </c>
      <c r="P80" s="53" t="s">
        <v>370</v>
      </c>
      <c r="Q80" s="53" t="s">
        <v>30</v>
      </c>
      <c r="R80" s="23"/>
    </row>
    <row r="81" spans="1:18" s="8" customFormat="1" ht="110.25" x14ac:dyDescent="0.25">
      <c r="A81" s="9" t="s">
        <v>176</v>
      </c>
      <c r="B81" s="32" t="s">
        <v>453</v>
      </c>
      <c r="C81" s="9"/>
      <c r="D81" s="10"/>
      <c r="E81" s="11" t="s">
        <v>22</v>
      </c>
      <c r="F81" s="10"/>
      <c r="G81" s="10"/>
      <c r="H81" s="10"/>
      <c r="I81" s="9"/>
      <c r="J81" s="12"/>
      <c r="K81" s="54" t="s">
        <v>177</v>
      </c>
      <c r="L81" s="52" t="s">
        <v>59</v>
      </c>
      <c r="M81" s="55" t="s">
        <v>458</v>
      </c>
      <c r="N81" s="53" t="s">
        <v>459</v>
      </c>
      <c r="O81" s="53" t="s">
        <v>460</v>
      </c>
      <c r="P81" s="53" t="s">
        <v>461</v>
      </c>
      <c r="Q81" s="53" t="s">
        <v>30</v>
      </c>
      <c r="R81" s="23"/>
    </row>
    <row r="82" spans="1:18" s="8" customFormat="1" ht="78.75" x14ac:dyDescent="0.25">
      <c r="A82" s="9">
        <f>A80+1</f>
        <v>58</v>
      </c>
      <c r="B82" s="32" t="s">
        <v>462</v>
      </c>
      <c r="C82" s="9"/>
      <c r="D82" s="10"/>
      <c r="E82" s="11" t="s">
        <v>22</v>
      </c>
      <c r="F82" s="10" t="s">
        <v>463</v>
      </c>
      <c r="G82" s="10" t="s">
        <v>464</v>
      </c>
      <c r="H82" s="10" t="s">
        <v>456</v>
      </c>
      <c r="I82" s="9" t="s">
        <v>457</v>
      </c>
      <c r="J82" s="12" t="s">
        <v>59</v>
      </c>
      <c r="K82" s="51" t="s">
        <v>79</v>
      </c>
      <c r="L82" s="52" t="s">
        <v>59</v>
      </c>
      <c r="M82" s="55"/>
      <c r="N82" s="53" t="s">
        <v>374</v>
      </c>
      <c r="O82" s="53" t="s">
        <v>149</v>
      </c>
      <c r="P82" s="53" t="s">
        <v>375</v>
      </c>
      <c r="Q82" s="53" t="s">
        <v>30</v>
      </c>
      <c r="R82" s="23"/>
    </row>
    <row r="83" spans="1:18" s="13" customFormat="1" ht="183" customHeight="1" x14ac:dyDescent="0.25">
      <c r="A83" s="9">
        <f>A82+1</f>
        <v>59</v>
      </c>
      <c r="B83" s="32" t="s">
        <v>465</v>
      </c>
      <c r="C83" s="9" t="s">
        <v>137</v>
      </c>
      <c r="D83" s="10"/>
      <c r="E83" s="11" t="s">
        <v>22</v>
      </c>
      <c r="F83" s="10" t="s">
        <v>466</v>
      </c>
      <c r="G83" s="10" t="s">
        <v>467</v>
      </c>
      <c r="H83" s="10" t="s">
        <v>468</v>
      </c>
      <c r="I83" s="9" t="s">
        <v>185</v>
      </c>
      <c r="J83" s="12" t="s">
        <v>59</v>
      </c>
      <c r="K83" s="59" t="s">
        <v>28</v>
      </c>
      <c r="L83" s="52" t="s">
        <v>59</v>
      </c>
      <c r="M83" s="60" t="s">
        <v>469</v>
      </c>
      <c r="N83" s="49" t="s">
        <v>470</v>
      </c>
      <c r="O83" s="49" t="s">
        <v>471</v>
      </c>
      <c r="P83" s="49" t="s">
        <v>472</v>
      </c>
      <c r="Q83" s="53" t="s">
        <v>30</v>
      </c>
      <c r="R83" s="23"/>
    </row>
    <row r="84" spans="1:18" s="23" customFormat="1" ht="15.75" hidden="1" x14ac:dyDescent="0.25">
      <c r="A84" s="19" t="s">
        <v>473</v>
      </c>
      <c r="B84" s="20" t="s">
        <v>474</v>
      </c>
      <c r="C84" s="20"/>
      <c r="D84" s="21"/>
      <c r="E84" s="19"/>
      <c r="F84" s="20"/>
      <c r="G84" s="20"/>
      <c r="H84" s="20"/>
      <c r="I84" s="20"/>
      <c r="J84" s="20"/>
      <c r="K84" s="41"/>
      <c r="L84" s="19"/>
      <c r="M84" s="39"/>
      <c r="N84" s="39"/>
      <c r="O84" s="22"/>
      <c r="P84" s="22"/>
      <c r="Q84" s="22"/>
    </row>
    <row r="85" spans="1:18" s="8" customFormat="1" ht="47.25" x14ac:dyDescent="0.25">
      <c r="A85" s="9">
        <f>A83+1</f>
        <v>60</v>
      </c>
      <c r="B85" s="32" t="s">
        <v>475</v>
      </c>
      <c r="C85" s="9"/>
      <c r="D85" s="10"/>
      <c r="E85" s="11" t="s">
        <v>22</v>
      </c>
      <c r="F85" s="10" t="s">
        <v>476</v>
      </c>
      <c r="G85" s="10" t="s">
        <v>477</v>
      </c>
      <c r="H85" s="10" t="s">
        <v>478</v>
      </c>
      <c r="I85" s="9" t="s">
        <v>479</v>
      </c>
      <c r="J85" s="12" t="s">
        <v>59</v>
      </c>
      <c r="K85" s="51" t="s">
        <v>58</v>
      </c>
      <c r="L85" s="52" t="s">
        <v>59</v>
      </c>
      <c r="M85" s="55"/>
      <c r="N85" s="53" t="s">
        <v>480</v>
      </c>
      <c r="O85" s="53" t="s">
        <v>481</v>
      </c>
      <c r="P85" s="53" t="s">
        <v>482</v>
      </c>
      <c r="Q85" s="53" t="s">
        <v>30</v>
      </c>
      <c r="R85" s="23"/>
    </row>
    <row r="86" spans="1:18" s="23" customFormat="1" ht="15.75" hidden="1" x14ac:dyDescent="0.25">
      <c r="A86" s="19" t="s">
        <v>483</v>
      </c>
      <c r="B86" s="20" t="s">
        <v>484</v>
      </c>
      <c r="C86" s="20"/>
      <c r="D86" s="21"/>
      <c r="E86" s="19"/>
      <c r="F86" s="20"/>
      <c r="G86" s="20"/>
      <c r="H86" s="20"/>
      <c r="I86" s="20"/>
      <c r="J86" s="20"/>
      <c r="K86" s="41"/>
      <c r="L86" s="19"/>
      <c r="M86" s="39"/>
      <c r="N86" s="39"/>
      <c r="O86" s="22"/>
      <c r="P86" s="22"/>
      <c r="Q86" s="22"/>
    </row>
    <row r="87" spans="1:18" s="8" customFormat="1" ht="47.25" x14ac:dyDescent="0.25">
      <c r="A87" s="9">
        <f>A85+1</f>
        <v>61</v>
      </c>
      <c r="B87" s="32" t="s">
        <v>485</v>
      </c>
      <c r="C87" s="9"/>
      <c r="D87" s="10"/>
      <c r="E87" s="11" t="s">
        <v>22</v>
      </c>
      <c r="F87" s="10" t="s">
        <v>486</v>
      </c>
      <c r="G87" s="10" t="s">
        <v>487</v>
      </c>
      <c r="H87" s="10" t="s">
        <v>488</v>
      </c>
      <c r="I87" s="9" t="s">
        <v>489</v>
      </c>
      <c r="J87" s="12" t="s">
        <v>27</v>
      </c>
      <c r="K87" s="51" t="s">
        <v>79</v>
      </c>
      <c r="L87" s="52" t="s">
        <v>27</v>
      </c>
      <c r="M87" s="55"/>
      <c r="N87" s="53" t="s">
        <v>490</v>
      </c>
      <c r="O87" s="53" t="s">
        <v>491</v>
      </c>
      <c r="P87" s="53" t="s">
        <v>30</v>
      </c>
      <c r="Q87" s="53" t="s">
        <v>30</v>
      </c>
      <c r="R87" s="23"/>
    </row>
    <row r="88" spans="1:18" s="8" customFormat="1" ht="75" customHeight="1" x14ac:dyDescent="0.25">
      <c r="A88" s="9">
        <f t="shared" ref="A88:A90" si="3">A87+1</f>
        <v>62</v>
      </c>
      <c r="B88" s="32" t="s">
        <v>492</v>
      </c>
      <c r="C88" s="9" t="s">
        <v>227</v>
      </c>
      <c r="D88" s="10"/>
      <c r="E88" s="11" t="s">
        <v>22</v>
      </c>
      <c r="F88" s="10" t="s">
        <v>493</v>
      </c>
      <c r="G88" s="10" t="s">
        <v>494</v>
      </c>
      <c r="H88" s="10" t="s">
        <v>495</v>
      </c>
      <c r="I88" s="9" t="s">
        <v>185</v>
      </c>
      <c r="J88" s="12" t="s">
        <v>27</v>
      </c>
      <c r="K88" s="51" t="s">
        <v>58</v>
      </c>
      <c r="L88" s="52" t="s">
        <v>27</v>
      </c>
      <c r="M88" s="55" t="s">
        <v>125</v>
      </c>
      <c r="N88" s="53" t="s">
        <v>496</v>
      </c>
      <c r="O88" s="53" t="s">
        <v>497</v>
      </c>
      <c r="P88" s="53" t="s">
        <v>30</v>
      </c>
      <c r="Q88" s="53" t="s">
        <v>30</v>
      </c>
      <c r="R88" s="23"/>
    </row>
    <row r="89" spans="1:18" s="8" customFormat="1" ht="47.25" x14ac:dyDescent="0.25">
      <c r="A89" s="9">
        <f t="shared" si="3"/>
        <v>63</v>
      </c>
      <c r="B89" s="32" t="s">
        <v>498</v>
      </c>
      <c r="D89" s="10"/>
      <c r="E89" s="11" t="s">
        <v>22</v>
      </c>
      <c r="F89" s="10" t="s">
        <v>499</v>
      </c>
      <c r="G89" s="10" t="s">
        <v>500</v>
      </c>
      <c r="H89" s="10" t="s">
        <v>501</v>
      </c>
      <c r="I89" s="9" t="s">
        <v>185</v>
      </c>
      <c r="J89" s="12" t="s">
        <v>27</v>
      </c>
      <c r="K89" s="51" t="s">
        <v>79</v>
      </c>
      <c r="L89" s="52" t="s">
        <v>27</v>
      </c>
      <c r="M89" s="55"/>
      <c r="N89" s="53" t="s">
        <v>502</v>
      </c>
      <c r="O89" s="53" t="s">
        <v>503</v>
      </c>
      <c r="P89" s="53" t="s">
        <v>30</v>
      </c>
      <c r="Q89" s="53" t="s">
        <v>30</v>
      </c>
      <c r="R89" s="23"/>
    </row>
    <row r="90" spans="1:18" s="8" customFormat="1" ht="189" x14ac:dyDescent="0.25">
      <c r="A90" s="9">
        <f t="shared" si="3"/>
        <v>64</v>
      </c>
      <c r="B90" s="32" t="s">
        <v>504</v>
      </c>
      <c r="C90" s="9"/>
      <c r="D90" s="10"/>
      <c r="E90" s="11" t="s">
        <v>22</v>
      </c>
      <c r="F90" s="10" t="s">
        <v>505</v>
      </c>
      <c r="G90" s="10" t="s">
        <v>506</v>
      </c>
      <c r="H90" s="10" t="s">
        <v>507</v>
      </c>
      <c r="I90" s="9" t="s">
        <v>263</v>
      </c>
      <c r="J90" s="12" t="s">
        <v>59</v>
      </c>
      <c r="K90" s="54" t="s">
        <v>168</v>
      </c>
      <c r="L90" s="52" t="s">
        <v>59</v>
      </c>
      <c r="M90" s="55" t="s">
        <v>508</v>
      </c>
      <c r="N90" s="53" t="s">
        <v>509</v>
      </c>
      <c r="O90" s="53" t="s">
        <v>510</v>
      </c>
      <c r="P90" s="53" t="s">
        <v>511</v>
      </c>
      <c r="Q90" s="53" t="s">
        <v>30</v>
      </c>
      <c r="R90" s="23"/>
    </row>
    <row r="91" spans="1:18" s="8" customFormat="1" ht="204.75" x14ac:dyDescent="0.25">
      <c r="A91" s="9" t="s">
        <v>176</v>
      </c>
      <c r="B91" s="32" t="s">
        <v>504</v>
      </c>
      <c r="C91" s="9"/>
      <c r="D91" s="10"/>
      <c r="E91" s="11" t="s">
        <v>22</v>
      </c>
      <c r="F91" s="10"/>
      <c r="G91" s="10"/>
      <c r="H91" s="10"/>
      <c r="I91" s="9"/>
      <c r="J91" s="12"/>
      <c r="K91" s="54" t="s">
        <v>177</v>
      </c>
      <c r="L91" s="52" t="s">
        <v>59</v>
      </c>
      <c r="M91" s="55" t="s">
        <v>512</v>
      </c>
      <c r="N91" s="53" t="s">
        <v>513</v>
      </c>
      <c r="O91" s="53" t="s">
        <v>514</v>
      </c>
      <c r="P91" s="53" t="s">
        <v>515</v>
      </c>
      <c r="Q91" s="53" t="s">
        <v>30</v>
      </c>
      <c r="R91" s="23"/>
    </row>
    <row r="92" spans="1:18" s="8" customFormat="1" ht="157.5" x14ac:dyDescent="0.25">
      <c r="A92" s="9">
        <f>A90+1</f>
        <v>65</v>
      </c>
      <c r="B92" s="32" t="s">
        <v>516</v>
      </c>
      <c r="C92" s="9"/>
      <c r="D92" s="10"/>
      <c r="E92" s="11" t="s">
        <v>22</v>
      </c>
      <c r="F92" s="10" t="s">
        <v>517</v>
      </c>
      <c r="G92" s="10" t="s">
        <v>518</v>
      </c>
      <c r="H92" s="10" t="s">
        <v>519</v>
      </c>
      <c r="I92" s="9" t="s">
        <v>36</v>
      </c>
      <c r="J92" s="12" t="s">
        <v>59</v>
      </c>
      <c r="K92" s="51" t="s">
        <v>79</v>
      </c>
      <c r="L92" s="52" t="s">
        <v>59</v>
      </c>
      <c r="M92" s="55" t="s">
        <v>520</v>
      </c>
      <c r="N92" s="53" t="s">
        <v>521</v>
      </c>
      <c r="O92" s="53" t="s">
        <v>522</v>
      </c>
      <c r="P92" s="53" t="s">
        <v>523</v>
      </c>
      <c r="Q92" s="53" t="s">
        <v>30</v>
      </c>
      <c r="R92" s="23"/>
    </row>
    <row r="93" spans="1:18" s="23" customFormat="1" ht="15.75" hidden="1" x14ac:dyDescent="0.25">
      <c r="A93" s="19" t="s">
        <v>524</v>
      </c>
      <c r="B93" s="20" t="s">
        <v>525</v>
      </c>
      <c r="C93" s="20"/>
      <c r="D93" s="21"/>
      <c r="E93" s="19"/>
      <c r="F93" s="20"/>
      <c r="G93" s="20"/>
      <c r="H93" s="20"/>
      <c r="I93" s="20"/>
      <c r="J93" s="20"/>
      <c r="K93" s="41"/>
      <c r="L93" s="19"/>
      <c r="M93" s="39"/>
      <c r="N93" s="39"/>
      <c r="O93" s="22"/>
      <c r="P93" s="22"/>
      <c r="Q93" s="22"/>
    </row>
    <row r="94" spans="1:18" s="8" customFormat="1" ht="47.25" x14ac:dyDescent="0.25">
      <c r="A94" s="9">
        <f>A92+1</f>
        <v>66</v>
      </c>
      <c r="B94" s="32" t="s">
        <v>526</v>
      </c>
      <c r="C94" s="9"/>
      <c r="D94" s="10"/>
      <c r="E94" s="11" t="s">
        <v>22</v>
      </c>
      <c r="F94" s="43" t="s">
        <v>527</v>
      </c>
      <c r="G94" s="43" t="s">
        <v>528</v>
      </c>
      <c r="H94" s="43" t="s">
        <v>529</v>
      </c>
      <c r="I94" s="9" t="s">
        <v>36</v>
      </c>
      <c r="J94" s="12" t="s">
        <v>27</v>
      </c>
      <c r="K94" s="51" t="s">
        <v>58</v>
      </c>
      <c r="L94" s="52" t="s">
        <v>27</v>
      </c>
      <c r="M94" s="55"/>
      <c r="N94" s="56" t="s">
        <v>530</v>
      </c>
      <c r="O94" s="36" t="s">
        <v>531</v>
      </c>
      <c r="P94" s="36" t="s">
        <v>30</v>
      </c>
      <c r="Q94" s="36" t="s">
        <v>30</v>
      </c>
      <c r="R94" s="23"/>
    </row>
    <row r="95" spans="1:18" s="23" customFormat="1" ht="15.75" hidden="1" x14ac:dyDescent="0.25">
      <c r="A95" s="19" t="s">
        <v>532</v>
      </c>
      <c r="B95" s="20" t="s">
        <v>533</v>
      </c>
      <c r="C95" s="20"/>
      <c r="D95" s="21"/>
      <c r="E95" s="19"/>
      <c r="F95" s="20"/>
      <c r="G95" s="20"/>
      <c r="H95" s="20"/>
      <c r="I95" s="20"/>
      <c r="J95" s="20"/>
      <c r="K95" s="41"/>
      <c r="L95" s="19"/>
      <c r="M95" s="39"/>
      <c r="N95" s="39"/>
      <c r="O95" s="22"/>
      <c r="P95" s="22"/>
      <c r="Q95" s="22"/>
    </row>
    <row r="96" spans="1:18" s="8" customFormat="1" ht="15.75" x14ac:dyDescent="0.25">
      <c r="A96" s="9">
        <f>A94+1</f>
        <v>67</v>
      </c>
      <c r="B96" s="32" t="s">
        <v>534</v>
      </c>
      <c r="C96" s="9"/>
      <c r="D96" s="10"/>
      <c r="E96" s="11" t="s">
        <v>22</v>
      </c>
      <c r="F96" s="10" t="s">
        <v>535</v>
      </c>
      <c r="G96" s="10" t="s">
        <v>536</v>
      </c>
      <c r="H96" s="10" t="s">
        <v>537</v>
      </c>
      <c r="I96" s="9" t="s">
        <v>36</v>
      </c>
      <c r="J96" s="12" t="s">
        <v>59</v>
      </c>
      <c r="K96" s="51" t="s">
        <v>58</v>
      </c>
      <c r="L96" s="52" t="s">
        <v>59</v>
      </c>
      <c r="M96" s="55"/>
      <c r="N96" s="56" t="s">
        <v>538</v>
      </c>
      <c r="O96" s="36" t="s">
        <v>539</v>
      </c>
      <c r="P96" s="36" t="s">
        <v>30</v>
      </c>
      <c r="Q96" s="36" t="s">
        <v>30</v>
      </c>
    </row>
    <row r="97" spans="1:17" s="8" customFormat="1" ht="30" x14ac:dyDescent="0.25">
      <c r="A97" s="9">
        <f>A96+1</f>
        <v>68</v>
      </c>
      <c r="B97" s="32" t="s">
        <v>540</v>
      </c>
      <c r="C97" s="9"/>
      <c r="D97" s="10"/>
      <c r="E97" s="11" t="s">
        <v>22</v>
      </c>
      <c r="F97" s="10" t="s">
        <v>541</v>
      </c>
      <c r="G97" s="10" t="s">
        <v>542</v>
      </c>
      <c r="H97" s="10" t="s">
        <v>543</v>
      </c>
      <c r="I97" s="9" t="s">
        <v>36</v>
      </c>
      <c r="J97" s="12" t="s">
        <v>59</v>
      </c>
      <c r="K97" s="51" t="s">
        <v>58</v>
      </c>
      <c r="L97" s="52" t="s">
        <v>59</v>
      </c>
      <c r="M97" s="55"/>
      <c r="N97" s="56" t="s">
        <v>544</v>
      </c>
      <c r="O97" s="36" t="s">
        <v>545</v>
      </c>
      <c r="P97" s="36" t="s">
        <v>30</v>
      </c>
      <c r="Q97" s="36" t="s">
        <v>30</v>
      </c>
    </row>
    <row r="98" spans="1:17" s="8" customFormat="1" ht="31.5" x14ac:dyDescent="0.25">
      <c r="A98" s="9">
        <f t="shared" si="2"/>
        <v>69</v>
      </c>
      <c r="B98" s="32" t="s">
        <v>546</v>
      </c>
      <c r="C98" s="9"/>
      <c r="D98" s="10"/>
      <c r="E98" s="11" t="s">
        <v>22</v>
      </c>
      <c r="F98" s="10" t="s">
        <v>547</v>
      </c>
      <c r="G98" s="10" t="s">
        <v>548</v>
      </c>
      <c r="H98" s="10" t="s">
        <v>549</v>
      </c>
      <c r="I98" s="9" t="s">
        <v>550</v>
      </c>
      <c r="J98" s="12" t="s">
        <v>27</v>
      </c>
      <c r="K98" s="51" t="s">
        <v>58</v>
      </c>
      <c r="L98" s="52" t="s">
        <v>27</v>
      </c>
      <c r="M98" s="55"/>
      <c r="N98" s="56" t="s">
        <v>551</v>
      </c>
      <c r="O98" s="36" t="s">
        <v>552</v>
      </c>
      <c r="P98" s="36" t="s">
        <v>30</v>
      </c>
      <c r="Q98" s="36" t="s">
        <v>30</v>
      </c>
    </row>
    <row r="99" spans="1:17" s="8" customFormat="1" ht="31.5" x14ac:dyDescent="0.25">
      <c r="A99" s="9">
        <f t="shared" si="2"/>
        <v>70</v>
      </c>
      <c r="B99" s="32" t="s">
        <v>553</v>
      </c>
      <c r="C99" s="9"/>
      <c r="D99" s="10"/>
      <c r="E99" s="11" t="s">
        <v>22</v>
      </c>
      <c r="F99" s="43" t="s">
        <v>554</v>
      </c>
      <c r="G99" s="43" t="s">
        <v>555</v>
      </c>
      <c r="H99" s="43" t="s">
        <v>556</v>
      </c>
      <c r="I99" s="9" t="s">
        <v>263</v>
      </c>
      <c r="J99" s="12" t="s">
        <v>27</v>
      </c>
      <c r="K99" s="51" t="s">
        <v>58</v>
      </c>
      <c r="L99" s="52" t="s">
        <v>27</v>
      </c>
      <c r="M99" s="55"/>
      <c r="N99" s="56" t="s">
        <v>557</v>
      </c>
      <c r="O99" s="36" t="s">
        <v>558</v>
      </c>
      <c r="P99" s="36" t="s">
        <v>30</v>
      </c>
      <c r="Q99" s="36" t="s">
        <v>30</v>
      </c>
    </row>
    <row r="100" spans="1:17" s="23" customFormat="1" ht="15.75" hidden="1" x14ac:dyDescent="0.25">
      <c r="A100" s="19" t="s">
        <v>559</v>
      </c>
      <c r="B100" s="20" t="s">
        <v>560</v>
      </c>
      <c r="C100" s="20"/>
      <c r="D100" s="21"/>
      <c r="E100" s="19"/>
      <c r="F100" s="20"/>
      <c r="G100" s="20"/>
      <c r="H100" s="20"/>
      <c r="I100" s="20"/>
      <c r="J100" s="20"/>
      <c r="K100" s="41"/>
      <c r="L100" s="19"/>
      <c r="M100" s="39"/>
      <c r="N100" s="39"/>
      <c r="O100" s="22"/>
      <c r="P100" s="22"/>
      <c r="Q100" s="22"/>
    </row>
    <row r="101" spans="1:17" s="8" customFormat="1" ht="78.75" x14ac:dyDescent="0.25">
      <c r="A101" s="9">
        <f t="shared" ref="A101" si="4">A99+1</f>
        <v>71</v>
      </c>
      <c r="B101" s="32" t="s">
        <v>561</v>
      </c>
      <c r="C101" s="9"/>
      <c r="D101" s="10"/>
      <c r="E101" s="11" t="s">
        <v>22</v>
      </c>
      <c r="F101" s="10" t="s">
        <v>562</v>
      </c>
      <c r="G101" s="10" t="s">
        <v>563</v>
      </c>
      <c r="H101" s="10" t="s">
        <v>564</v>
      </c>
      <c r="I101" s="9" t="s">
        <v>565</v>
      </c>
      <c r="J101" s="12" t="s">
        <v>59</v>
      </c>
      <c r="K101" s="51" t="s">
        <v>58</v>
      </c>
      <c r="L101" s="52" t="s">
        <v>59</v>
      </c>
      <c r="M101" s="55"/>
      <c r="N101" s="56" t="s">
        <v>566</v>
      </c>
      <c r="O101" s="37" t="s">
        <v>567</v>
      </c>
      <c r="P101" s="37" t="s">
        <v>568</v>
      </c>
      <c r="Q101" s="36" t="s">
        <v>30</v>
      </c>
    </row>
    <row r="102" spans="1:17" s="23" customFormat="1" ht="15.75" hidden="1" x14ac:dyDescent="0.25">
      <c r="A102" s="19" t="s">
        <v>569</v>
      </c>
      <c r="B102" s="20" t="s">
        <v>570</v>
      </c>
      <c r="C102" s="20"/>
      <c r="D102" s="21"/>
      <c r="E102" s="19"/>
      <c r="F102" s="20"/>
      <c r="G102" s="20"/>
      <c r="H102" s="20"/>
      <c r="I102" s="20"/>
      <c r="J102" s="20"/>
      <c r="K102" s="41"/>
      <c r="L102" s="19"/>
      <c r="M102" s="39"/>
      <c r="N102" s="39"/>
      <c r="O102" s="22"/>
      <c r="P102" s="22"/>
      <c r="Q102" s="22"/>
    </row>
    <row r="103" spans="1:17" s="8" customFormat="1" ht="34.5" x14ac:dyDescent="0.25">
      <c r="A103" s="9">
        <f>A101+1</f>
        <v>72</v>
      </c>
      <c r="B103" s="32" t="s">
        <v>571</v>
      </c>
      <c r="C103" s="9"/>
      <c r="D103" s="10"/>
      <c r="E103" s="11" t="s">
        <v>22</v>
      </c>
      <c r="F103" s="10" t="s">
        <v>572</v>
      </c>
      <c r="G103" s="43" t="s">
        <v>573</v>
      </c>
      <c r="H103" s="43" t="s">
        <v>574</v>
      </c>
      <c r="I103" s="9" t="s">
        <v>575</v>
      </c>
      <c r="J103" s="12" t="s">
        <v>27</v>
      </c>
      <c r="K103" s="51" t="s">
        <v>58</v>
      </c>
      <c r="L103" s="52" t="s">
        <v>27</v>
      </c>
      <c r="M103" s="55"/>
      <c r="N103" s="57" t="s">
        <v>576</v>
      </c>
      <c r="O103" s="36" t="s">
        <v>577</v>
      </c>
      <c r="P103" s="36" t="s">
        <v>30</v>
      </c>
      <c r="Q103" s="36" t="s">
        <v>30</v>
      </c>
    </row>
    <row r="104" spans="1:17" s="16" customFormat="1" ht="47.25" x14ac:dyDescent="0.25">
      <c r="A104" s="9">
        <f>A103+1</f>
        <v>73</v>
      </c>
      <c r="B104" s="32" t="s">
        <v>578</v>
      </c>
      <c r="C104" s="9"/>
      <c r="D104" s="10"/>
      <c r="E104" s="11" t="s">
        <v>22</v>
      </c>
      <c r="F104" s="10" t="s">
        <v>579</v>
      </c>
      <c r="G104" s="10" t="s">
        <v>580</v>
      </c>
      <c r="H104" s="10" t="s">
        <v>581</v>
      </c>
      <c r="I104" s="9" t="s">
        <v>582</v>
      </c>
      <c r="J104" s="12" t="s">
        <v>27</v>
      </c>
      <c r="K104" s="51" t="s">
        <v>58</v>
      </c>
      <c r="L104" s="52" t="s">
        <v>27</v>
      </c>
      <c r="M104" s="55"/>
      <c r="N104" s="57" t="s">
        <v>583</v>
      </c>
      <c r="O104" s="36" t="s">
        <v>584</v>
      </c>
      <c r="P104" s="36" t="s">
        <v>30</v>
      </c>
      <c r="Q104" s="36" t="s">
        <v>30</v>
      </c>
    </row>
    <row r="105" spans="1:17" s="8" customFormat="1" ht="315" x14ac:dyDescent="0.25">
      <c r="A105" s="9">
        <f>A104+1</f>
        <v>74</v>
      </c>
      <c r="B105" s="32" t="s">
        <v>585</v>
      </c>
      <c r="C105" s="9" t="s">
        <v>137</v>
      </c>
      <c r="D105" s="10"/>
      <c r="E105" s="11" t="s">
        <v>22</v>
      </c>
      <c r="F105" s="10" t="s">
        <v>586</v>
      </c>
      <c r="G105" s="10" t="s">
        <v>587</v>
      </c>
      <c r="H105" s="10" t="s">
        <v>588</v>
      </c>
      <c r="I105" s="9" t="s">
        <v>582</v>
      </c>
      <c r="J105" s="12" t="s">
        <v>59</v>
      </c>
      <c r="K105" s="54" t="s">
        <v>168</v>
      </c>
      <c r="L105" s="52" t="s">
        <v>59</v>
      </c>
      <c r="M105" s="55" t="s">
        <v>589</v>
      </c>
      <c r="N105" s="48" t="s">
        <v>590</v>
      </c>
      <c r="O105" s="50" t="s">
        <v>591</v>
      </c>
      <c r="P105" s="50" t="s">
        <v>592</v>
      </c>
      <c r="Q105" s="36" t="s">
        <v>30</v>
      </c>
    </row>
    <row r="106" spans="1:17" s="8" customFormat="1" ht="299.25" x14ac:dyDescent="0.25">
      <c r="A106" s="9" t="s">
        <v>176</v>
      </c>
      <c r="B106" s="32" t="s">
        <v>585</v>
      </c>
      <c r="C106" s="9" t="s">
        <v>137</v>
      </c>
      <c r="D106" s="10"/>
      <c r="E106" s="11" t="s">
        <v>22</v>
      </c>
      <c r="F106" s="10"/>
      <c r="G106" s="10"/>
      <c r="H106" s="10"/>
      <c r="I106" s="9"/>
      <c r="J106" s="12"/>
      <c r="K106" s="54" t="s">
        <v>177</v>
      </c>
      <c r="L106" s="52" t="s">
        <v>59</v>
      </c>
      <c r="M106" s="55" t="s">
        <v>593</v>
      </c>
      <c r="N106" s="49" t="s">
        <v>594</v>
      </c>
      <c r="O106" s="50" t="s">
        <v>595</v>
      </c>
      <c r="P106" s="50" t="s">
        <v>596</v>
      </c>
      <c r="Q106" s="36"/>
    </row>
    <row r="107" spans="1:17" s="8" customFormat="1" ht="315" x14ac:dyDescent="0.25">
      <c r="A107" s="9">
        <f>A105+1</f>
        <v>75</v>
      </c>
      <c r="B107" s="32" t="s">
        <v>597</v>
      </c>
      <c r="C107" s="9" t="s">
        <v>137</v>
      </c>
      <c r="D107" s="10"/>
      <c r="E107" s="11" t="s">
        <v>22</v>
      </c>
      <c r="F107" s="10" t="s">
        <v>598</v>
      </c>
      <c r="G107" s="10" t="s">
        <v>599</v>
      </c>
      <c r="H107" s="10" t="s">
        <v>600</v>
      </c>
      <c r="I107" s="9" t="s">
        <v>582</v>
      </c>
      <c r="J107" s="12" t="s">
        <v>59</v>
      </c>
      <c r="K107" s="54" t="s">
        <v>168</v>
      </c>
      <c r="L107" s="52" t="s">
        <v>59</v>
      </c>
      <c r="M107" s="55" t="s">
        <v>589</v>
      </c>
      <c r="N107" s="47" t="s">
        <v>601</v>
      </c>
      <c r="O107" s="50" t="s">
        <v>602</v>
      </c>
      <c r="P107" s="50" t="s">
        <v>603</v>
      </c>
      <c r="Q107" s="36" t="s">
        <v>30</v>
      </c>
    </row>
    <row r="108" spans="1:17" s="8" customFormat="1" ht="299.25" x14ac:dyDescent="0.25">
      <c r="A108" s="9" t="s">
        <v>176</v>
      </c>
      <c r="B108" s="32" t="s">
        <v>597</v>
      </c>
      <c r="C108" s="9" t="s">
        <v>137</v>
      </c>
      <c r="D108" s="10"/>
      <c r="E108" s="11" t="s">
        <v>22</v>
      </c>
      <c r="F108" s="10"/>
      <c r="G108" s="10"/>
      <c r="H108" s="10"/>
      <c r="I108" s="9"/>
      <c r="J108" s="12"/>
      <c r="K108" s="54" t="s">
        <v>177</v>
      </c>
      <c r="L108" s="52" t="s">
        <v>59</v>
      </c>
      <c r="M108" s="55" t="s">
        <v>593</v>
      </c>
      <c r="N108" s="49" t="s">
        <v>604</v>
      </c>
      <c r="O108" s="50" t="s">
        <v>605</v>
      </c>
      <c r="P108" s="50" t="s">
        <v>606</v>
      </c>
      <c r="Q108" s="36"/>
    </row>
    <row r="109" spans="1:17" s="8" customFormat="1" ht="315" x14ac:dyDescent="0.25">
      <c r="A109" s="9">
        <f>A107+1</f>
        <v>76</v>
      </c>
      <c r="B109" s="32" t="s">
        <v>607</v>
      </c>
      <c r="C109" s="9" t="s">
        <v>137</v>
      </c>
      <c r="D109" s="10"/>
      <c r="E109" s="11" t="s">
        <v>22</v>
      </c>
      <c r="F109" s="10" t="s">
        <v>586</v>
      </c>
      <c r="G109" s="10" t="s">
        <v>608</v>
      </c>
      <c r="H109" s="10" t="s">
        <v>609</v>
      </c>
      <c r="I109" s="9" t="s">
        <v>263</v>
      </c>
      <c r="J109" s="12" t="s">
        <v>59</v>
      </c>
      <c r="K109" s="54" t="s">
        <v>168</v>
      </c>
      <c r="L109" s="52" t="s">
        <v>59</v>
      </c>
      <c r="M109" s="55" t="s">
        <v>589</v>
      </c>
      <c r="N109" s="47" t="s">
        <v>610</v>
      </c>
      <c r="O109" s="50" t="s">
        <v>611</v>
      </c>
      <c r="P109" s="50" t="s">
        <v>612</v>
      </c>
      <c r="Q109" s="36"/>
    </row>
    <row r="110" spans="1:17" s="8" customFormat="1" ht="299.25" x14ac:dyDescent="0.25">
      <c r="A110" s="9" t="s">
        <v>176</v>
      </c>
      <c r="B110" s="32" t="s">
        <v>607</v>
      </c>
      <c r="C110" s="9" t="s">
        <v>137</v>
      </c>
      <c r="D110" s="10"/>
      <c r="E110" s="11" t="s">
        <v>22</v>
      </c>
      <c r="F110" s="10"/>
      <c r="G110" s="10"/>
      <c r="H110" s="10"/>
      <c r="I110" s="9"/>
      <c r="J110" s="12"/>
      <c r="K110" s="54" t="s">
        <v>177</v>
      </c>
      <c r="L110" s="52" t="s">
        <v>59</v>
      </c>
      <c r="M110" s="55" t="s">
        <v>593</v>
      </c>
      <c r="N110" s="49" t="s">
        <v>613</v>
      </c>
      <c r="O110" s="50" t="s">
        <v>614</v>
      </c>
      <c r="P110" s="50" t="s">
        <v>615</v>
      </c>
      <c r="Q110" s="36"/>
    </row>
    <row r="111" spans="1:17" s="8" customFormat="1" ht="315" x14ac:dyDescent="0.25">
      <c r="A111" s="9">
        <f>A109+1</f>
        <v>77</v>
      </c>
      <c r="B111" s="32" t="s">
        <v>616</v>
      </c>
      <c r="C111" s="9" t="s">
        <v>137</v>
      </c>
      <c r="D111" s="10"/>
      <c r="E111" s="11" t="s">
        <v>22</v>
      </c>
      <c r="F111" s="10" t="s">
        <v>598</v>
      </c>
      <c r="G111" s="10" t="s">
        <v>617</v>
      </c>
      <c r="H111" s="10" t="s">
        <v>618</v>
      </c>
      <c r="I111" s="9" t="s">
        <v>263</v>
      </c>
      <c r="J111" s="12" t="s">
        <v>59</v>
      </c>
      <c r="K111" s="54" t="s">
        <v>168</v>
      </c>
      <c r="L111" s="52" t="s">
        <v>59</v>
      </c>
      <c r="M111" s="55" t="s">
        <v>589</v>
      </c>
      <c r="N111" s="47" t="s">
        <v>619</v>
      </c>
      <c r="O111" s="50" t="s">
        <v>620</v>
      </c>
      <c r="P111" s="50" t="s">
        <v>621</v>
      </c>
      <c r="Q111" s="36"/>
    </row>
    <row r="112" spans="1:17" s="8" customFormat="1" ht="299.25" x14ac:dyDescent="0.25">
      <c r="A112" s="9" t="s">
        <v>176</v>
      </c>
      <c r="B112" s="32" t="s">
        <v>616</v>
      </c>
      <c r="C112" s="9" t="s">
        <v>137</v>
      </c>
      <c r="D112" s="10"/>
      <c r="E112" s="11" t="s">
        <v>22</v>
      </c>
      <c r="F112" s="10"/>
      <c r="G112" s="10"/>
      <c r="H112" s="10"/>
      <c r="I112" s="9"/>
      <c r="J112" s="12"/>
      <c r="K112" s="54" t="s">
        <v>177</v>
      </c>
      <c r="L112" s="52" t="s">
        <v>59</v>
      </c>
      <c r="M112" s="55" t="s">
        <v>593</v>
      </c>
      <c r="N112" s="49" t="s">
        <v>622</v>
      </c>
      <c r="O112" s="50" t="s">
        <v>623</v>
      </c>
      <c r="P112" s="50" t="s">
        <v>624</v>
      </c>
      <c r="Q112" s="36"/>
    </row>
    <row r="113" spans="1:17" s="8" customFormat="1" ht="315" x14ac:dyDescent="0.25">
      <c r="A113" s="9">
        <f>A111+1</f>
        <v>78</v>
      </c>
      <c r="B113" s="32" t="s">
        <v>625</v>
      </c>
      <c r="C113" s="9"/>
      <c r="D113" s="10"/>
      <c r="E113" s="11" t="s">
        <v>22</v>
      </c>
      <c r="F113" s="10" t="s">
        <v>626</v>
      </c>
      <c r="G113" s="10" t="s">
        <v>627</v>
      </c>
      <c r="H113" s="10" t="s">
        <v>628</v>
      </c>
      <c r="I113" s="9" t="s">
        <v>629</v>
      </c>
      <c r="J113" s="12" t="s">
        <v>59</v>
      </c>
      <c r="K113" s="54" t="s">
        <v>168</v>
      </c>
      <c r="L113" s="52" t="s">
        <v>59</v>
      </c>
      <c r="M113" s="55" t="s">
        <v>630</v>
      </c>
      <c r="N113" s="37" t="s">
        <v>631</v>
      </c>
      <c r="O113" s="37" t="s">
        <v>632</v>
      </c>
      <c r="P113" s="37" t="s">
        <v>633</v>
      </c>
      <c r="Q113" s="36" t="s">
        <v>30</v>
      </c>
    </row>
    <row r="114" spans="1:17" s="8" customFormat="1" ht="299.25" x14ac:dyDescent="0.25">
      <c r="A114" s="9" t="s">
        <v>176</v>
      </c>
      <c r="B114" s="32" t="s">
        <v>625</v>
      </c>
      <c r="C114" s="9"/>
      <c r="D114" s="10"/>
      <c r="E114" s="11" t="s">
        <v>22</v>
      </c>
      <c r="F114" s="10"/>
      <c r="G114" s="10"/>
      <c r="H114" s="10"/>
      <c r="I114" s="9"/>
      <c r="J114" s="12"/>
      <c r="K114" s="54" t="s">
        <v>177</v>
      </c>
      <c r="L114" s="52" t="s">
        <v>59</v>
      </c>
      <c r="M114" s="55" t="s">
        <v>630</v>
      </c>
      <c r="N114" s="37" t="s">
        <v>634</v>
      </c>
      <c r="O114" s="37" t="s">
        <v>635</v>
      </c>
      <c r="P114" s="37" t="s">
        <v>636</v>
      </c>
      <c r="Q114" s="36"/>
    </row>
    <row r="115" spans="1:17" s="8" customFormat="1" ht="15.75" hidden="1" x14ac:dyDescent="0.25">
      <c r="A115" s="19" t="s">
        <v>637</v>
      </c>
      <c r="B115" s="20" t="s">
        <v>638</v>
      </c>
      <c r="C115" s="20"/>
      <c r="D115" s="21"/>
      <c r="E115" s="19"/>
      <c r="F115" s="20"/>
      <c r="G115" s="20"/>
      <c r="H115" s="20"/>
      <c r="I115" s="20"/>
      <c r="J115" s="20"/>
      <c r="K115" s="41"/>
      <c r="L115" s="19"/>
      <c r="M115" s="39"/>
      <c r="N115" s="39"/>
      <c r="O115" s="22"/>
      <c r="P115" s="22"/>
      <c r="Q115" s="22"/>
    </row>
    <row r="116" spans="1:17" s="23" customFormat="1" ht="49.15" customHeight="1" x14ac:dyDescent="0.25">
      <c r="A116" s="9">
        <f>A113+1</f>
        <v>79</v>
      </c>
      <c r="B116" s="32" t="s">
        <v>639</v>
      </c>
      <c r="C116" s="9"/>
      <c r="D116" s="10"/>
      <c r="E116" s="11" t="s">
        <v>22</v>
      </c>
      <c r="F116" s="10" t="s">
        <v>640</v>
      </c>
      <c r="G116" s="10" t="s">
        <v>641</v>
      </c>
      <c r="H116" s="10" t="s">
        <v>642</v>
      </c>
      <c r="I116" s="9" t="s">
        <v>77</v>
      </c>
      <c r="J116" s="12" t="s">
        <v>27</v>
      </c>
      <c r="K116" s="51" t="s">
        <v>58</v>
      </c>
      <c r="L116" s="52" t="s">
        <v>27</v>
      </c>
      <c r="M116" s="55"/>
      <c r="N116" s="56" t="s">
        <v>643</v>
      </c>
      <c r="O116" s="36" t="s">
        <v>644</v>
      </c>
      <c r="P116" s="36" t="s">
        <v>30</v>
      </c>
      <c r="Q116" s="36" t="s">
        <v>30</v>
      </c>
    </row>
    <row r="117" spans="1:17" s="8" customFormat="1" ht="15.75" hidden="1" x14ac:dyDescent="0.25">
      <c r="A117" s="19" t="s">
        <v>645</v>
      </c>
      <c r="B117" s="20" t="s">
        <v>646</v>
      </c>
      <c r="C117" s="20"/>
      <c r="D117" s="21"/>
      <c r="E117" s="19"/>
      <c r="F117" s="20"/>
      <c r="G117" s="20"/>
      <c r="H117" s="20"/>
      <c r="I117" s="20"/>
      <c r="J117" s="20"/>
      <c r="K117" s="41"/>
      <c r="L117" s="19"/>
      <c r="M117" s="39"/>
      <c r="N117" s="39"/>
      <c r="O117" s="22"/>
      <c r="P117" s="22"/>
      <c r="Q117" s="22"/>
    </row>
    <row r="118" spans="1:17" s="23" customFormat="1" ht="49.15" customHeight="1" x14ac:dyDescent="0.25">
      <c r="A118" s="9">
        <f>A116+1</f>
        <v>80</v>
      </c>
      <c r="B118" s="32" t="s">
        <v>647</v>
      </c>
      <c r="C118" s="9"/>
      <c r="D118" s="10"/>
      <c r="E118" s="11" t="s">
        <v>22</v>
      </c>
      <c r="F118" s="10" t="s">
        <v>648</v>
      </c>
      <c r="G118" s="10" t="s">
        <v>649</v>
      </c>
      <c r="H118" s="10" t="s">
        <v>650</v>
      </c>
      <c r="I118" s="9" t="s">
        <v>77</v>
      </c>
      <c r="J118" s="12" t="s">
        <v>27</v>
      </c>
      <c r="K118" s="51" t="s">
        <v>58</v>
      </c>
      <c r="L118" s="52" t="s">
        <v>27</v>
      </c>
      <c r="M118" s="55"/>
      <c r="N118" s="56" t="s">
        <v>651</v>
      </c>
      <c r="O118" s="36" t="s">
        <v>652</v>
      </c>
      <c r="P118" s="36" t="s">
        <v>30</v>
      </c>
      <c r="Q118" s="36" t="s">
        <v>30</v>
      </c>
    </row>
    <row r="119" spans="1:17" s="8" customFormat="1" ht="15.75" hidden="1" x14ac:dyDescent="0.25">
      <c r="A119" s="19" t="s">
        <v>653</v>
      </c>
      <c r="B119" s="20" t="s">
        <v>654</v>
      </c>
      <c r="C119" s="20"/>
      <c r="D119" s="21"/>
      <c r="E119" s="19"/>
      <c r="F119" s="20"/>
      <c r="G119" s="20"/>
      <c r="H119" s="20"/>
      <c r="I119" s="20"/>
      <c r="J119" s="20"/>
      <c r="K119" s="41"/>
      <c r="L119" s="19"/>
      <c r="M119" s="39"/>
      <c r="N119" s="39"/>
      <c r="O119" s="22"/>
      <c r="P119" s="22"/>
      <c r="Q119" s="22"/>
    </row>
    <row r="120" spans="1:17" s="8" customFormat="1" ht="31.5" x14ac:dyDescent="0.25">
      <c r="A120" s="9">
        <f>A118+1</f>
        <v>81</v>
      </c>
      <c r="B120" s="32" t="s">
        <v>655</v>
      </c>
      <c r="D120" s="10"/>
      <c r="E120" s="11" t="s">
        <v>22</v>
      </c>
      <c r="F120" s="43" t="s">
        <v>656</v>
      </c>
      <c r="G120" s="43" t="s">
        <v>657</v>
      </c>
      <c r="H120" s="43" t="s">
        <v>658</v>
      </c>
      <c r="I120" s="9" t="s">
        <v>36</v>
      </c>
      <c r="J120" s="12" t="s">
        <v>27</v>
      </c>
      <c r="K120" s="51" t="s">
        <v>58</v>
      </c>
      <c r="L120" s="52" t="s">
        <v>27</v>
      </c>
      <c r="M120" s="55"/>
      <c r="N120" s="56" t="s">
        <v>659</v>
      </c>
      <c r="O120" s="36" t="s">
        <v>660</v>
      </c>
      <c r="P120" s="36" t="s">
        <v>30</v>
      </c>
      <c r="Q120" s="36" t="s">
        <v>30</v>
      </c>
    </row>
    <row r="121" spans="1:17" s="14" customFormat="1" ht="63" x14ac:dyDescent="0.25">
      <c r="A121" s="9">
        <f>A120+1</f>
        <v>82</v>
      </c>
      <c r="B121" s="32" t="s">
        <v>661</v>
      </c>
      <c r="C121" s="9" t="s">
        <v>32</v>
      </c>
      <c r="D121" s="10"/>
      <c r="E121" s="11" t="s">
        <v>22</v>
      </c>
      <c r="F121" s="10" t="s">
        <v>662</v>
      </c>
      <c r="G121" s="10" t="s">
        <v>663</v>
      </c>
      <c r="H121" s="10" t="s">
        <v>529</v>
      </c>
      <c r="I121" s="9" t="s">
        <v>36</v>
      </c>
      <c r="J121" s="12" t="s">
        <v>27</v>
      </c>
      <c r="K121" s="51" t="s">
        <v>58</v>
      </c>
      <c r="L121" s="52" t="s">
        <v>27</v>
      </c>
      <c r="M121" s="55"/>
      <c r="N121" s="56" t="s">
        <v>664</v>
      </c>
      <c r="O121" s="36" t="s">
        <v>665</v>
      </c>
      <c r="P121" s="36" t="s">
        <v>30</v>
      </c>
      <c r="Q121" s="36" t="s">
        <v>30</v>
      </c>
    </row>
    <row r="122" spans="1:17" s="8" customFormat="1" ht="31.5" x14ac:dyDescent="0.25">
      <c r="A122" s="9">
        <f>A121+1</f>
        <v>83</v>
      </c>
      <c r="B122" s="32" t="s">
        <v>666</v>
      </c>
      <c r="C122" s="29"/>
      <c r="D122" s="10"/>
      <c r="E122" s="11" t="s">
        <v>22</v>
      </c>
      <c r="F122" s="10" t="s">
        <v>667</v>
      </c>
      <c r="G122" s="43" t="s">
        <v>668</v>
      </c>
      <c r="H122" s="43" t="s">
        <v>669</v>
      </c>
      <c r="I122" s="9" t="s">
        <v>479</v>
      </c>
      <c r="J122" s="12" t="s">
        <v>27</v>
      </c>
      <c r="K122" s="51" t="s">
        <v>58</v>
      </c>
      <c r="L122" s="52" t="s">
        <v>27</v>
      </c>
      <c r="M122" s="55"/>
      <c r="N122" s="56" t="s">
        <v>670</v>
      </c>
      <c r="O122" s="36" t="s">
        <v>671</v>
      </c>
      <c r="P122" s="36" t="s">
        <v>30</v>
      </c>
      <c r="Q122" s="36" t="s">
        <v>30</v>
      </c>
    </row>
    <row r="123" spans="1:17" s="8" customFormat="1" ht="15.6" hidden="1" customHeight="1" x14ac:dyDescent="0.25">
      <c r="A123" s="19" t="s">
        <v>672</v>
      </c>
      <c r="B123" s="20" t="s">
        <v>673</v>
      </c>
      <c r="C123" s="20"/>
      <c r="D123" s="21"/>
      <c r="E123" s="19"/>
      <c r="F123" s="20"/>
      <c r="G123" s="20"/>
      <c r="H123" s="20"/>
      <c r="I123" s="20"/>
      <c r="J123" s="20"/>
      <c r="K123" s="41"/>
      <c r="L123" s="19"/>
      <c r="M123" s="39"/>
      <c r="N123" s="39"/>
      <c r="O123" s="22"/>
      <c r="P123" s="22"/>
      <c r="Q123" s="22"/>
    </row>
    <row r="124" spans="1:17" s="8" customFormat="1" ht="47.25" x14ac:dyDescent="0.25">
      <c r="A124" s="9">
        <f>A122+1</f>
        <v>84</v>
      </c>
      <c r="B124" s="32" t="s">
        <v>674</v>
      </c>
      <c r="C124" s="9"/>
      <c r="D124" s="10"/>
      <c r="E124" s="11" t="s">
        <v>22</v>
      </c>
      <c r="F124" s="10" t="s">
        <v>675</v>
      </c>
      <c r="G124" s="10" t="s">
        <v>676</v>
      </c>
      <c r="H124" s="10" t="s">
        <v>25</v>
      </c>
      <c r="I124" s="9" t="s">
        <v>26</v>
      </c>
      <c r="J124" s="12" t="s">
        <v>27</v>
      </c>
      <c r="K124" s="51" t="s">
        <v>58</v>
      </c>
      <c r="L124" s="52" t="s">
        <v>27</v>
      </c>
      <c r="M124" s="55"/>
      <c r="N124" s="56" t="s">
        <v>677</v>
      </c>
      <c r="O124" s="36" t="s">
        <v>30</v>
      </c>
      <c r="P124" s="36" t="s">
        <v>30</v>
      </c>
      <c r="Q124" s="36" t="s">
        <v>30</v>
      </c>
    </row>
    <row r="125" spans="1:17" s="23" customFormat="1" ht="31.5" x14ac:dyDescent="0.25">
      <c r="A125" s="9">
        <f t="shared" ref="A125:A156" si="5">A124+1</f>
        <v>85</v>
      </c>
      <c r="B125" s="32" t="s">
        <v>678</v>
      </c>
      <c r="C125" s="9"/>
      <c r="D125" s="10"/>
      <c r="E125" s="11" t="s">
        <v>22</v>
      </c>
      <c r="F125" s="10" t="s">
        <v>679</v>
      </c>
      <c r="G125" s="10" t="s">
        <v>680</v>
      </c>
      <c r="H125" s="10" t="s">
        <v>25</v>
      </c>
      <c r="I125" s="9" t="s">
        <v>26</v>
      </c>
      <c r="J125" s="12" t="s">
        <v>27</v>
      </c>
      <c r="K125" s="51" t="s">
        <v>58</v>
      </c>
      <c r="L125" s="52" t="s">
        <v>27</v>
      </c>
      <c r="M125" s="55"/>
      <c r="N125" s="56" t="s">
        <v>681</v>
      </c>
      <c r="O125" s="36" t="s">
        <v>30</v>
      </c>
      <c r="P125" s="36" t="s">
        <v>30</v>
      </c>
      <c r="Q125" s="36" t="s">
        <v>30</v>
      </c>
    </row>
    <row r="126" spans="1:17" s="8" customFormat="1" ht="15.75" hidden="1" x14ac:dyDescent="0.25">
      <c r="A126" s="19" t="s">
        <v>682</v>
      </c>
      <c r="B126" s="20" t="s">
        <v>683</v>
      </c>
      <c r="C126" s="20"/>
      <c r="D126" s="21"/>
      <c r="E126" s="19"/>
      <c r="F126" s="20"/>
      <c r="G126" s="20"/>
      <c r="H126" s="20"/>
      <c r="I126" s="20"/>
      <c r="J126" s="20"/>
      <c r="K126" s="41"/>
      <c r="L126" s="19"/>
      <c r="M126" s="39"/>
      <c r="N126" s="39"/>
      <c r="O126" s="22"/>
      <c r="P126" s="22"/>
      <c r="Q126" s="22"/>
    </row>
    <row r="127" spans="1:17" s="8" customFormat="1" ht="285" x14ac:dyDescent="0.25">
      <c r="A127" s="9">
        <f>A125+1</f>
        <v>86</v>
      </c>
      <c r="B127" s="32" t="s">
        <v>684</v>
      </c>
      <c r="C127" s="9"/>
      <c r="D127" s="10"/>
      <c r="E127" s="11" t="s">
        <v>22</v>
      </c>
      <c r="F127" s="10" t="s">
        <v>685</v>
      </c>
      <c r="G127" s="10" t="s">
        <v>686</v>
      </c>
      <c r="H127" s="10" t="s">
        <v>687</v>
      </c>
      <c r="I127" s="9" t="s">
        <v>263</v>
      </c>
      <c r="J127" s="12" t="s">
        <v>59</v>
      </c>
      <c r="K127" s="54" t="s">
        <v>168</v>
      </c>
      <c r="L127" s="52" t="s">
        <v>59</v>
      </c>
      <c r="M127" s="55" t="s">
        <v>688</v>
      </c>
      <c r="N127" s="57" t="s">
        <v>689</v>
      </c>
      <c r="O127" s="37" t="s">
        <v>690</v>
      </c>
      <c r="P127" s="37" t="s">
        <v>691</v>
      </c>
      <c r="Q127" s="36" t="s">
        <v>30</v>
      </c>
    </row>
    <row r="128" spans="1:17" s="8" customFormat="1" ht="285" x14ac:dyDescent="0.25">
      <c r="A128" s="9" t="s">
        <v>176</v>
      </c>
      <c r="B128" s="32" t="s">
        <v>684</v>
      </c>
      <c r="C128" s="9"/>
      <c r="D128" s="10"/>
      <c r="E128" s="11" t="s">
        <v>22</v>
      </c>
      <c r="F128" s="10"/>
      <c r="G128" s="10"/>
      <c r="H128" s="10"/>
      <c r="I128" s="9"/>
      <c r="J128" s="12"/>
      <c r="K128" s="54" t="s">
        <v>177</v>
      </c>
      <c r="L128" s="52" t="s">
        <v>59</v>
      </c>
      <c r="M128" s="55" t="s">
        <v>688</v>
      </c>
      <c r="N128" s="57" t="s">
        <v>692</v>
      </c>
      <c r="O128" s="37" t="s">
        <v>693</v>
      </c>
      <c r="P128" s="37" t="s">
        <v>694</v>
      </c>
      <c r="Q128" s="36"/>
    </row>
    <row r="129" spans="1:17" s="8" customFormat="1" ht="267.75" x14ac:dyDescent="0.25">
      <c r="A129" s="9">
        <f>A127+1</f>
        <v>87</v>
      </c>
      <c r="B129" s="32" t="s">
        <v>695</v>
      </c>
      <c r="C129" s="9" t="s">
        <v>137</v>
      </c>
      <c r="D129" s="10"/>
      <c r="E129" s="11" t="s">
        <v>22</v>
      </c>
      <c r="F129" s="10" t="s">
        <v>696</v>
      </c>
      <c r="G129" s="10" t="s">
        <v>697</v>
      </c>
      <c r="H129" s="10" t="s">
        <v>698</v>
      </c>
      <c r="I129" s="9" t="s">
        <v>263</v>
      </c>
      <c r="J129" s="12" t="s">
        <v>59</v>
      </c>
      <c r="K129" s="54" t="s">
        <v>168</v>
      </c>
      <c r="L129" s="52" t="s">
        <v>59</v>
      </c>
      <c r="M129" s="55" t="s">
        <v>699</v>
      </c>
      <c r="N129" s="47" t="s">
        <v>700</v>
      </c>
      <c r="O129" s="50" t="s">
        <v>701</v>
      </c>
      <c r="P129" s="50" t="s">
        <v>702</v>
      </c>
      <c r="Q129" s="36" t="s">
        <v>30</v>
      </c>
    </row>
    <row r="130" spans="1:17" s="8" customFormat="1" ht="252" x14ac:dyDescent="0.25">
      <c r="A130" s="9" t="s">
        <v>176</v>
      </c>
      <c r="B130" s="32" t="s">
        <v>695</v>
      </c>
      <c r="C130" s="9" t="s">
        <v>137</v>
      </c>
      <c r="D130" s="10"/>
      <c r="E130" s="11" t="s">
        <v>22</v>
      </c>
      <c r="F130" s="10"/>
      <c r="G130" s="10"/>
      <c r="H130" s="10"/>
      <c r="I130" s="9"/>
      <c r="J130" s="12"/>
      <c r="K130" s="54" t="s">
        <v>177</v>
      </c>
      <c r="L130" s="52" t="s">
        <v>59</v>
      </c>
      <c r="M130" s="55" t="s">
        <v>703</v>
      </c>
      <c r="N130" s="47" t="s">
        <v>704</v>
      </c>
      <c r="O130" s="50" t="s">
        <v>705</v>
      </c>
      <c r="P130" s="50" t="s">
        <v>706</v>
      </c>
      <c r="Q130" s="36"/>
    </row>
    <row r="131" spans="1:17" s="8" customFormat="1" ht="267.75" x14ac:dyDescent="0.25">
      <c r="A131" s="9">
        <f>A129+1</f>
        <v>88</v>
      </c>
      <c r="B131" s="32" t="s">
        <v>707</v>
      </c>
      <c r="C131" s="9" t="s">
        <v>137</v>
      </c>
      <c r="D131" s="10"/>
      <c r="E131" s="11" t="s">
        <v>22</v>
      </c>
      <c r="F131" s="10" t="s">
        <v>708</v>
      </c>
      <c r="G131" s="10" t="s">
        <v>709</v>
      </c>
      <c r="H131" s="10" t="s">
        <v>710</v>
      </c>
      <c r="I131" s="9" t="s">
        <v>263</v>
      </c>
      <c r="J131" s="12" t="s">
        <v>59</v>
      </c>
      <c r="K131" s="54" t="s">
        <v>168</v>
      </c>
      <c r="L131" s="52" t="s">
        <v>59</v>
      </c>
      <c r="M131" s="55" t="s">
        <v>699</v>
      </c>
      <c r="N131" s="47" t="s">
        <v>711</v>
      </c>
      <c r="O131" s="50" t="s">
        <v>712</v>
      </c>
      <c r="P131" s="50" t="s">
        <v>713</v>
      </c>
      <c r="Q131" s="36" t="s">
        <v>30</v>
      </c>
    </row>
    <row r="132" spans="1:17" s="8" customFormat="1" ht="252" x14ac:dyDescent="0.25">
      <c r="A132" s="9" t="s">
        <v>176</v>
      </c>
      <c r="B132" s="32" t="s">
        <v>707</v>
      </c>
      <c r="C132" s="9" t="s">
        <v>137</v>
      </c>
      <c r="D132" s="10"/>
      <c r="E132" s="11" t="s">
        <v>22</v>
      </c>
      <c r="F132" s="10"/>
      <c r="G132" s="10"/>
      <c r="H132" s="10"/>
      <c r="I132" s="9"/>
      <c r="J132" s="12"/>
      <c r="K132" s="54" t="s">
        <v>177</v>
      </c>
      <c r="L132" s="52" t="s">
        <v>59</v>
      </c>
      <c r="M132" s="55" t="s">
        <v>703</v>
      </c>
      <c r="N132" s="47" t="s">
        <v>714</v>
      </c>
      <c r="O132" s="50" t="s">
        <v>715</v>
      </c>
      <c r="P132" s="50" t="s">
        <v>716</v>
      </c>
      <c r="Q132" s="36"/>
    </row>
    <row r="133" spans="1:17" s="8" customFormat="1" ht="267.75" x14ac:dyDescent="0.25">
      <c r="A133" s="9">
        <f>A131+1</f>
        <v>89</v>
      </c>
      <c r="B133" s="32" t="s">
        <v>717</v>
      </c>
      <c r="C133" s="9" t="s">
        <v>137</v>
      </c>
      <c r="D133" s="10"/>
      <c r="E133" s="11" t="s">
        <v>22</v>
      </c>
      <c r="F133" s="8" t="s">
        <v>696</v>
      </c>
      <c r="G133" s="10" t="s">
        <v>718</v>
      </c>
      <c r="H133" s="10" t="s">
        <v>719</v>
      </c>
      <c r="I133" s="9" t="s">
        <v>720</v>
      </c>
      <c r="J133" s="12" t="s">
        <v>59</v>
      </c>
      <c r="K133" s="54" t="s">
        <v>168</v>
      </c>
      <c r="L133" s="52" t="s">
        <v>59</v>
      </c>
      <c r="M133" s="55" t="s">
        <v>699</v>
      </c>
      <c r="N133" s="47" t="s">
        <v>721</v>
      </c>
      <c r="O133" s="50" t="s">
        <v>722</v>
      </c>
      <c r="P133" s="50" t="s">
        <v>723</v>
      </c>
      <c r="Q133" s="36"/>
    </row>
    <row r="134" spans="1:17" s="8" customFormat="1" ht="252" x14ac:dyDescent="0.25">
      <c r="A134" s="9" t="s">
        <v>176</v>
      </c>
      <c r="B134" s="32" t="s">
        <v>717</v>
      </c>
      <c r="C134" s="9" t="s">
        <v>137</v>
      </c>
      <c r="D134" s="10"/>
      <c r="E134" s="11" t="s">
        <v>22</v>
      </c>
      <c r="G134" s="10"/>
      <c r="H134" s="10"/>
      <c r="I134" s="9"/>
      <c r="J134" s="12"/>
      <c r="K134" s="54" t="s">
        <v>177</v>
      </c>
      <c r="L134" s="52" t="s">
        <v>59</v>
      </c>
      <c r="M134" s="55" t="s">
        <v>703</v>
      </c>
      <c r="N134" s="47" t="s">
        <v>724</v>
      </c>
      <c r="O134" s="50" t="s">
        <v>725</v>
      </c>
      <c r="P134" s="50" t="s">
        <v>726</v>
      </c>
      <c r="Q134" s="36"/>
    </row>
    <row r="135" spans="1:17" s="8" customFormat="1" ht="267.75" x14ac:dyDescent="0.25">
      <c r="A135" s="9">
        <f>A133+1</f>
        <v>90</v>
      </c>
      <c r="B135" s="32" t="s">
        <v>727</v>
      </c>
      <c r="C135" s="9" t="s">
        <v>137</v>
      </c>
      <c r="D135" s="10"/>
      <c r="E135" s="11" t="s">
        <v>22</v>
      </c>
      <c r="F135" s="10" t="s">
        <v>708</v>
      </c>
      <c r="G135" s="10" t="s">
        <v>728</v>
      </c>
      <c r="H135" s="10" t="s">
        <v>729</v>
      </c>
      <c r="I135" s="9" t="s">
        <v>720</v>
      </c>
      <c r="J135" s="12" t="s">
        <v>59</v>
      </c>
      <c r="K135" s="54" t="s">
        <v>168</v>
      </c>
      <c r="L135" s="52" t="s">
        <v>59</v>
      </c>
      <c r="M135" s="55" t="s">
        <v>699</v>
      </c>
      <c r="N135" s="47" t="s">
        <v>730</v>
      </c>
      <c r="O135" s="50" t="s">
        <v>731</v>
      </c>
      <c r="P135" s="50" t="s">
        <v>732</v>
      </c>
      <c r="Q135" s="36"/>
    </row>
    <row r="136" spans="1:17" s="8" customFormat="1" ht="236.25" x14ac:dyDescent="0.25">
      <c r="A136" s="9" t="s">
        <v>176</v>
      </c>
      <c r="B136" s="32" t="s">
        <v>727</v>
      </c>
      <c r="C136" s="9" t="s">
        <v>137</v>
      </c>
      <c r="D136" s="10"/>
      <c r="E136" s="11" t="s">
        <v>22</v>
      </c>
      <c r="F136" s="10"/>
      <c r="G136" s="10"/>
      <c r="H136" s="10"/>
      <c r="I136" s="9"/>
      <c r="J136" s="12"/>
      <c r="K136" s="54" t="s">
        <v>177</v>
      </c>
      <c r="L136" s="52" t="s">
        <v>59</v>
      </c>
      <c r="M136" s="55" t="s">
        <v>703</v>
      </c>
      <c r="N136" s="47" t="s">
        <v>733</v>
      </c>
      <c r="O136" s="50" t="s">
        <v>734</v>
      </c>
      <c r="P136" s="50" t="s">
        <v>735</v>
      </c>
      <c r="Q136" s="36"/>
    </row>
    <row r="137" spans="1:17" s="14" customFormat="1" ht="57" customHeight="1" x14ac:dyDescent="0.25">
      <c r="A137" s="9">
        <f>A135+1</f>
        <v>91</v>
      </c>
      <c r="B137" s="32" t="s">
        <v>736</v>
      </c>
      <c r="C137" s="9" t="s">
        <v>137</v>
      </c>
      <c r="D137" s="10"/>
      <c r="E137" s="11" t="s">
        <v>22</v>
      </c>
      <c r="F137" s="43" t="s">
        <v>737</v>
      </c>
      <c r="G137" s="43" t="s">
        <v>738</v>
      </c>
      <c r="H137" s="43" t="s">
        <v>739</v>
      </c>
      <c r="I137" s="9" t="s">
        <v>740</v>
      </c>
      <c r="J137" s="12" t="s">
        <v>27</v>
      </c>
      <c r="K137" s="51" t="s">
        <v>79</v>
      </c>
      <c r="L137" s="52" t="s">
        <v>27</v>
      </c>
      <c r="M137" s="55" t="s">
        <v>125</v>
      </c>
      <c r="N137" s="57" t="s">
        <v>741</v>
      </c>
      <c r="O137" s="36" t="s">
        <v>742</v>
      </c>
      <c r="P137" s="36" t="s">
        <v>30</v>
      </c>
      <c r="Q137" s="36" t="s">
        <v>30</v>
      </c>
    </row>
    <row r="138" spans="1:17" s="14" customFormat="1" ht="263.25" customHeight="1" x14ac:dyDescent="0.25">
      <c r="A138" s="9" t="s">
        <v>176</v>
      </c>
      <c r="B138" s="32" t="s">
        <v>736</v>
      </c>
      <c r="C138" s="9" t="s">
        <v>137</v>
      </c>
      <c r="D138" s="10"/>
      <c r="E138" s="11" t="s">
        <v>22</v>
      </c>
      <c r="F138" s="10"/>
      <c r="G138" s="10"/>
      <c r="H138" s="10"/>
      <c r="I138" s="9"/>
      <c r="J138" s="12"/>
      <c r="K138" s="51" t="s">
        <v>79</v>
      </c>
      <c r="L138" s="52" t="s">
        <v>59</v>
      </c>
      <c r="M138" s="55" t="s">
        <v>743</v>
      </c>
      <c r="N138" s="47" t="s">
        <v>744</v>
      </c>
      <c r="O138" s="50" t="s">
        <v>745</v>
      </c>
      <c r="P138" s="50" t="s">
        <v>746</v>
      </c>
      <c r="Q138" s="36"/>
    </row>
    <row r="139" spans="1:17" s="8" customFormat="1" ht="63" x14ac:dyDescent="0.25">
      <c r="A139" s="9">
        <f>A137+1</f>
        <v>92</v>
      </c>
      <c r="B139" s="32" t="s">
        <v>747</v>
      </c>
      <c r="C139" s="9" t="s">
        <v>227</v>
      </c>
      <c r="D139" s="10"/>
      <c r="E139" s="11" t="s">
        <v>22</v>
      </c>
      <c r="F139" s="10" t="s">
        <v>748</v>
      </c>
      <c r="G139" s="10" t="s">
        <v>749</v>
      </c>
      <c r="H139" s="10" t="s">
        <v>750</v>
      </c>
      <c r="I139" s="9" t="s">
        <v>720</v>
      </c>
      <c r="J139" s="12" t="s">
        <v>27</v>
      </c>
      <c r="K139" s="51" t="s">
        <v>79</v>
      </c>
      <c r="L139" s="52" t="s">
        <v>27</v>
      </c>
      <c r="M139" s="55"/>
      <c r="N139" s="57" t="s">
        <v>751</v>
      </c>
      <c r="O139" s="36" t="s">
        <v>752</v>
      </c>
      <c r="P139" s="36" t="s">
        <v>30</v>
      </c>
      <c r="Q139" s="36" t="s">
        <v>30</v>
      </c>
    </row>
    <row r="140" spans="1:17" s="23" customFormat="1" ht="47.25" x14ac:dyDescent="0.25">
      <c r="A140" s="9">
        <f>A139+1</f>
        <v>93</v>
      </c>
      <c r="B140" s="32" t="s">
        <v>753</v>
      </c>
      <c r="C140" s="9"/>
      <c r="D140" s="10"/>
      <c r="E140" s="11" t="s">
        <v>22</v>
      </c>
      <c r="F140" s="10" t="s">
        <v>754</v>
      </c>
      <c r="G140" s="10" t="s">
        <v>755</v>
      </c>
      <c r="H140" s="10" t="s">
        <v>756</v>
      </c>
      <c r="I140" s="9" t="s">
        <v>757</v>
      </c>
      <c r="J140" s="12" t="s">
        <v>27</v>
      </c>
      <c r="K140" s="51" t="s">
        <v>79</v>
      </c>
      <c r="L140" s="52" t="s">
        <v>27</v>
      </c>
      <c r="M140" s="55"/>
      <c r="N140" s="57" t="s">
        <v>758</v>
      </c>
      <c r="O140" s="36" t="s">
        <v>759</v>
      </c>
      <c r="P140" s="36" t="s">
        <v>30</v>
      </c>
      <c r="Q140" s="36" t="s">
        <v>30</v>
      </c>
    </row>
    <row r="141" spans="1:17" s="8" customFormat="1" ht="15.75" hidden="1" x14ac:dyDescent="0.25">
      <c r="A141" s="19" t="s">
        <v>760</v>
      </c>
      <c r="B141" s="20" t="s">
        <v>761</v>
      </c>
      <c r="C141" s="20"/>
      <c r="D141" s="21"/>
      <c r="E141" s="19"/>
      <c r="F141" s="20"/>
      <c r="G141" s="20"/>
      <c r="H141" s="20"/>
      <c r="I141" s="20"/>
      <c r="J141" s="20"/>
      <c r="K141" s="41"/>
      <c r="L141" s="19"/>
      <c r="M141" s="39"/>
      <c r="N141" s="39"/>
      <c r="O141" s="22"/>
      <c r="P141" s="22"/>
      <c r="Q141" s="22"/>
    </row>
    <row r="142" spans="1:17" s="8" customFormat="1" ht="47.25" x14ac:dyDescent="0.25">
      <c r="A142" s="9">
        <f>A140+1</f>
        <v>94</v>
      </c>
      <c r="B142" s="32" t="s">
        <v>762</v>
      </c>
      <c r="C142" s="9"/>
      <c r="D142" s="10"/>
      <c r="E142" s="11" t="s">
        <v>22</v>
      </c>
      <c r="F142" s="10" t="s">
        <v>763</v>
      </c>
      <c r="G142" s="43" t="s">
        <v>764</v>
      </c>
      <c r="H142" s="43" t="s">
        <v>765</v>
      </c>
      <c r="I142" s="9" t="s">
        <v>36</v>
      </c>
      <c r="J142" s="12" t="s">
        <v>27</v>
      </c>
      <c r="K142" s="51" t="s">
        <v>58</v>
      </c>
      <c r="L142" s="52" t="s">
        <v>27</v>
      </c>
      <c r="M142" s="57" t="s">
        <v>125</v>
      </c>
      <c r="N142" s="57" t="s">
        <v>766</v>
      </c>
      <c r="O142" s="38" t="s">
        <v>767</v>
      </c>
      <c r="P142" s="40" t="s">
        <v>30</v>
      </c>
      <c r="Q142" s="40" t="s">
        <v>30</v>
      </c>
    </row>
    <row r="143" spans="1:17" s="23" customFormat="1" ht="220.5" customHeight="1" x14ac:dyDescent="0.25">
      <c r="A143" s="9">
        <f>A142+1</f>
        <v>95</v>
      </c>
      <c r="B143" s="32" t="s">
        <v>768</v>
      </c>
      <c r="C143" s="9"/>
      <c r="D143" s="10"/>
      <c r="E143" s="11" t="s">
        <v>22</v>
      </c>
      <c r="F143" s="10" t="s">
        <v>769</v>
      </c>
      <c r="G143" s="10" t="s">
        <v>770</v>
      </c>
      <c r="H143" s="10" t="s">
        <v>771</v>
      </c>
      <c r="I143" s="9" t="s">
        <v>36</v>
      </c>
      <c r="J143" s="12" t="s">
        <v>59</v>
      </c>
      <c r="K143" s="51" t="s">
        <v>79</v>
      </c>
      <c r="L143" s="52" t="s">
        <v>59</v>
      </c>
      <c r="M143" s="57"/>
      <c r="N143" s="57" t="s">
        <v>772</v>
      </c>
      <c r="O143" s="38" t="s">
        <v>773</v>
      </c>
      <c r="P143" s="38" t="s">
        <v>774</v>
      </c>
      <c r="Q143" s="40" t="s">
        <v>30</v>
      </c>
    </row>
    <row r="144" spans="1:17" s="8" customFormat="1" ht="15.75" hidden="1" x14ac:dyDescent="0.25">
      <c r="A144" s="19" t="s">
        <v>775</v>
      </c>
      <c r="B144" s="20" t="s">
        <v>776</v>
      </c>
      <c r="C144" s="20"/>
      <c r="D144" s="21"/>
      <c r="E144" s="19"/>
      <c r="F144" s="20"/>
      <c r="G144" s="20"/>
      <c r="H144" s="20"/>
      <c r="I144" s="20"/>
      <c r="J144" s="20"/>
      <c r="K144" s="41"/>
      <c r="L144" s="19"/>
      <c r="M144" s="39"/>
      <c r="N144" s="39"/>
      <c r="O144" s="22"/>
      <c r="P144" s="22"/>
      <c r="Q144" s="22"/>
    </row>
    <row r="145" spans="1:17" s="8" customFormat="1" ht="47.25" x14ac:dyDescent="0.25">
      <c r="A145" s="9">
        <f>A143+1</f>
        <v>96</v>
      </c>
      <c r="B145" s="32" t="s">
        <v>777</v>
      </c>
      <c r="C145" s="9"/>
      <c r="D145" s="10"/>
      <c r="E145" s="11" t="s">
        <v>22</v>
      </c>
      <c r="F145" s="10" t="s">
        <v>778</v>
      </c>
      <c r="G145" s="10" t="s">
        <v>779</v>
      </c>
      <c r="H145" s="10" t="s">
        <v>780</v>
      </c>
      <c r="I145" s="9" t="s">
        <v>368</v>
      </c>
      <c r="J145" s="12" t="s">
        <v>27</v>
      </c>
      <c r="K145" s="51" t="s">
        <v>58</v>
      </c>
      <c r="L145" s="52" t="s">
        <v>27</v>
      </c>
      <c r="M145" s="57"/>
      <c r="N145" s="57" t="s">
        <v>781</v>
      </c>
      <c r="O145" s="38" t="s">
        <v>782</v>
      </c>
      <c r="P145" s="40" t="s">
        <v>30</v>
      </c>
      <c r="Q145" s="40" t="s">
        <v>30</v>
      </c>
    </row>
    <row r="146" spans="1:17" s="8" customFormat="1" ht="173.25" x14ac:dyDescent="0.25">
      <c r="A146" s="9">
        <f t="shared" si="5"/>
        <v>97</v>
      </c>
      <c r="B146" s="32" t="s">
        <v>783</v>
      </c>
      <c r="C146" s="9" t="s">
        <v>227</v>
      </c>
      <c r="D146" s="11" t="s">
        <v>22</v>
      </c>
      <c r="E146" s="11" t="s">
        <v>22</v>
      </c>
      <c r="F146" s="10" t="s">
        <v>784</v>
      </c>
      <c r="G146" s="10" t="s">
        <v>785</v>
      </c>
      <c r="H146" s="10" t="s">
        <v>25</v>
      </c>
      <c r="I146" s="44" t="s">
        <v>786</v>
      </c>
      <c r="J146" s="12" t="s">
        <v>27</v>
      </c>
      <c r="K146" s="51" t="s">
        <v>58</v>
      </c>
      <c r="L146" s="52" t="s">
        <v>27</v>
      </c>
      <c r="M146" s="57"/>
      <c r="N146" s="57" t="s">
        <v>787</v>
      </c>
      <c r="O146" s="40" t="s">
        <v>30</v>
      </c>
      <c r="P146" s="40" t="s">
        <v>30</v>
      </c>
      <c r="Q146" s="40" t="s">
        <v>30</v>
      </c>
    </row>
    <row r="147" spans="1:17" s="8" customFormat="1" ht="47.25" x14ac:dyDescent="0.25">
      <c r="A147" s="9">
        <f t="shared" si="5"/>
        <v>98</v>
      </c>
      <c r="B147" s="32" t="s">
        <v>788</v>
      </c>
      <c r="C147" s="9"/>
      <c r="D147" s="10"/>
      <c r="E147" s="11" t="s">
        <v>22</v>
      </c>
      <c r="F147" s="10" t="s">
        <v>789</v>
      </c>
      <c r="G147" s="10" t="s">
        <v>790</v>
      </c>
      <c r="H147" s="10" t="s">
        <v>791</v>
      </c>
      <c r="I147" s="9" t="s">
        <v>792</v>
      </c>
      <c r="J147" s="12" t="s">
        <v>27</v>
      </c>
      <c r="K147" s="51" t="s">
        <v>58</v>
      </c>
      <c r="L147" s="52" t="s">
        <v>27</v>
      </c>
      <c r="M147" s="57"/>
      <c r="N147" s="57" t="s">
        <v>793</v>
      </c>
      <c r="O147" s="38" t="s">
        <v>794</v>
      </c>
      <c r="P147" s="40" t="s">
        <v>30</v>
      </c>
      <c r="Q147" s="40" t="s">
        <v>30</v>
      </c>
    </row>
    <row r="148" spans="1:17" s="23" customFormat="1" ht="47.25" x14ac:dyDescent="0.25">
      <c r="A148" s="9">
        <f t="shared" si="5"/>
        <v>99</v>
      </c>
      <c r="B148" s="32" t="s">
        <v>795</v>
      </c>
      <c r="C148" s="9"/>
      <c r="D148" s="10"/>
      <c r="E148" s="11" t="s">
        <v>22</v>
      </c>
      <c r="F148" s="10" t="s">
        <v>796</v>
      </c>
      <c r="G148" s="10" t="s">
        <v>797</v>
      </c>
      <c r="H148" s="10" t="s">
        <v>798</v>
      </c>
      <c r="I148" s="9" t="s">
        <v>799</v>
      </c>
      <c r="J148" s="12" t="s">
        <v>27</v>
      </c>
      <c r="K148" s="51" t="s">
        <v>58</v>
      </c>
      <c r="L148" s="52" t="s">
        <v>27</v>
      </c>
      <c r="M148" s="57"/>
      <c r="N148" s="57" t="s">
        <v>800</v>
      </c>
      <c r="O148" s="38" t="s">
        <v>801</v>
      </c>
      <c r="P148" s="40" t="s">
        <v>30</v>
      </c>
      <c r="Q148" s="40" t="s">
        <v>30</v>
      </c>
    </row>
    <row r="149" spans="1:17" s="8" customFormat="1" ht="15.75" hidden="1" x14ac:dyDescent="0.25">
      <c r="A149" s="19" t="s">
        <v>802</v>
      </c>
      <c r="B149" s="20" t="s">
        <v>803</v>
      </c>
      <c r="C149" s="20"/>
      <c r="D149" s="21"/>
      <c r="E149" s="19"/>
      <c r="F149" s="20"/>
      <c r="G149" s="20"/>
      <c r="H149" s="20"/>
      <c r="I149" s="20"/>
      <c r="J149" s="20"/>
      <c r="K149" s="41"/>
      <c r="L149" s="19"/>
      <c r="M149" s="39"/>
      <c r="N149" s="39"/>
      <c r="O149" s="22"/>
      <c r="P149" s="22"/>
      <c r="Q149" s="22"/>
    </row>
    <row r="150" spans="1:17" s="8" customFormat="1" ht="47.25" x14ac:dyDescent="0.25">
      <c r="A150" s="9">
        <f>A148+1</f>
        <v>100</v>
      </c>
      <c r="B150" s="32" t="s">
        <v>804</v>
      </c>
      <c r="C150" s="9"/>
      <c r="D150" s="10"/>
      <c r="E150" s="11" t="s">
        <v>22</v>
      </c>
      <c r="F150" s="10" t="s">
        <v>805</v>
      </c>
      <c r="G150" s="10" t="s">
        <v>806</v>
      </c>
      <c r="H150" s="10" t="s">
        <v>807</v>
      </c>
      <c r="I150" s="9" t="s">
        <v>582</v>
      </c>
      <c r="J150" s="12" t="s">
        <v>27</v>
      </c>
      <c r="K150" s="51" t="s">
        <v>58</v>
      </c>
      <c r="L150" s="52" t="s">
        <v>27</v>
      </c>
      <c r="M150" s="57"/>
      <c r="N150" s="57" t="s">
        <v>808</v>
      </c>
      <c r="O150" s="38" t="s">
        <v>809</v>
      </c>
      <c r="P150" s="40" t="s">
        <v>30</v>
      </c>
      <c r="Q150" s="40" t="s">
        <v>30</v>
      </c>
    </row>
    <row r="151" spans="1:17" s="8" customFormat="1" ht="15.75" hidden="1" x14ac:dyDescent="0.25">
      <c r="A151" s="19" t="s">
        <v>810</v>
      </c>
      <c r="B151" s="20" t="s">
        <v>811</v>
      </c>
      <c r="C151" s="20"/>
      <c r="D151" s="21"/>
      <c r="E151" s="19"/>
      <c r="F151" s="20"/>
      <c r="G151" s="20"/>
      <c r="H151" s="20"/>
      <c r="I151" s="20"/>
      <c r="J151" s="20"/>
      <c r="K151" s="41"/>
      <c r="L151" s="19"/>
      <c r="M151" s="39"/>
      <c r="N151" s="39"/>
      <c r="O151" s="22"/>
      <c r="P151" s="22"/>
      <c r="Q151" s="22"/>
    </row>
    <row r="152" spans="1:17" s="8" customFormat="1" ht="408.6" customHeight="1" x14ac:dyDescent="0.25">
      <c r="A152" s="9">
        <f>A150+1</f>
        <v>101</v>
      </c>
      <c r="B152" s="32" t="s">
        <v>812</v>
      </c>
      <c r="C152" s="9"/>
      <c r="D152" s="35"/>
      <c r="E152" s="11" t="s">
        <v>22</v>
      </c>
      <c r="F152" s="10" t="s">
        <v>813</v>
      </c>
      <c r="G152" s="10" t="s">
        <v>814</v>
      </c>
      <c r="H152" s="10" t="s">
        <v>815</v>
      </c>
      <c r="I152" s="9" t="s">
        <v>36</v>
      </c>
      <c r="J152" s="12" t="s">
        <v>27</v>
      </c>
      <c r="K152" s="51" t="s">
        <v>58</v>
      </c>
      <c r="L152" s="52" t="s">
        <v>59</v>
      </c>
      <c r="M152" s="57" t="s">
        <v>60</v>
      </c>
      <c r="N152" s="57" t="s">
        <v>816</v>
      </c>
      <c r="O152" s="38" t="s">
        <v>817</v>
      </c>
      <c r="P152" s="38" t="s">
        <v>818</v>
      </c>
      <c r="Q152" s="40" t="s">
        <v>30</v>
      </c>
    </row>
    <row r="153" spans="1:17" s="8" customFormat="1" ht="394.15" customHeight="1" x14ac:dyDescent="0.25">
      <c r="A153" s="9">
        <f>A152+1</f>
        <v>102</v>
      </c>
      <c r="B153" s="32" t="s">
        <v>819</v>
      </c>
      <c r="C153" s="9"/>
      <c r="D153" s="35"/>
      <c r="E153" s="11" t="s">
        <v>22</v>
      </c>
      <c r="F153" s="10" t="s">
        <v>820</v>
      </c>
      <c r="G153" s="10" t="s">
        <v>821</v>
      </c>
      <c r="H153" s="10" t="s">
        <v>822</v>
      </c>
      <c r="I153" s="9" t="s">
        <v>36</v>
      </c>
      <c r="J153" s="12" t="s">
        <v>27</v>
      </c>
      <c r="K153" s="51" t="s">
        <v>58</v>
      </c>
      <c r="L153" s="52" t="s">
        <v>59</v>
      </c>
      <c r="M153" s="57" t="s">
        <v>60</v>
      </c>
      <c r="N153" s="57" t="s">
        <v>823</v>
      </c>
      <c r="O153" s="38" t="s">
        <v>824</v>
      </c>
      <c r="P153" s="38" t="s">
        <v>825</v>
      </c>
      <c r="Q153" s="40" t="s">
        <v>30</v>
      </c>
    </row>
    <row r="154" spans="1:17" s="14" customFormat="1" ht="15.75" hidden="1" x14ac:dyDescent="0.25">
      <c r="A154" s="19" t="s">
        <v>826</v>
      </c>
      <c r="B154" s="20" t="s">
        <v>827</v>
      </c>
      <c r="C154" s="20"/>
      <c r="D154" s="21"/>
      <c r="E154" s="19"/>
      <c r="F154" s="20"/>
      <c r="G154" s="20"/>
      <c r="H154" s="20"/>
      <c r="I154" s="20"/>
      <c r="J154" s="20"/>
      <c r="K154" s="41"/>
      <c r="L154" s="19"/>
      <c r="M154" s="39"/>
      <c r="N154" s="39"/>
      <c r="O154" s="22"/>
      <c r="P154" s="22"/>
      <c r="Q154" s="22"/>
    </row>
    <row r="155" spans="1:17" s="8" customFormat="1" ht="31.5" x14ac:dyDescent="0.25">
      <c r="A155" s="9">
        <f>A153+1</f>
        <v>103</v>
      </c>
      <c r="B155" s="32" t="s">
        <v>828</v>
      </c>
      <c r="C155" s="9"/>
      <c r="D155" s="10"/>
      <c r="E155" s="11" t="s">
        <v>22</v>
      </c>
      <c r="F155" s="10" t="s">
        <v>829</v>
      </c>
      <c r="G155" s="10" t="s">
        <v>830</v>
      </c>
      <c r="H155" s="10" t="s">
        <v>831</v>
      </c>
      <c r="I155" s="9" t="s">
        <v>792</v>
      </c>
      <c r="J155" s="12" t="s">
        <v>27</v>
      </c>
      <c r="K155" s="51" t="s">
        <v>58</v>
      </c>
      <c r="L155" s="52" t="s">
        <v>27</v>
      </c>
      <c r="M155" s="55"/>
      <c r="N155" s="57" t="s">
        <v>832</v>
      </c>
      <c r="O155" s="40" t="s">
        <v>833</v>
      </c>
      <c r="P155" s="40" t="s">
        <v>30</v>
      </c>
      <c r="Q155" s="40" t="s">
        <v>30</v>
      </c>
    </row>
    <row r="156" spans="1:17" s="23" customFormat="1" ht="31.5" x14ac:dyDescent="0.25">
      <c r="A156" s="9">
        <f t="shared" si="5"/>
        <v>104</v>
      </c>
      <c r="B156" s="32" t="s">
        <v>834</v>
      </c>
      <c r="C156" s="9"/>
      <c r="D156" s="10"/>
      <c r="E156" s="11" t="s">
        <v>22</v>
      </c>
      <c r="F156" s="10" t="s">
        <v>835</v>
      </c>
      <c r="G156" s="10" t="s">
        <v>836</v>
      </c>
      <c r="H156" s="10" t="s">
        <v>837</v>
      </c>
      <c r="I156" s="9" t="s">
        <v>757</v>
      </c>
      <c r="J156" s="12" t="s">
        <v>27</v>
      </c>
      <c r="K156" s="51" t="s">
        <v>58</v>
      </c>
      <c r="L156" s="52" t="s">
        <v>27</v>
      </c>
      <c r="M156" s="55"/>
      <c r="N156" s="57" t="s">
        <v>838</v>
      </c>
      <c r="O156" s="40" t="s">
        <v>839</v>
      </c>
      <c r="P156" s="40" t="s">
        <v>30</v>
      </c>
      <c r="Q156" s="40" t="s">
        <v>30</v>
      </c>
    </row>
    <row r="157" spans="1:17" s="8" customFormat="1" ht="15.75" hidden="1" x14ac:dyDescent="0.25">
      <c r="A157" s="19" t="s">
        <v>840</v>
      </c>
      <c r="B157" s="20" t="s">
        <v>841</v>
      </c>
      <c r="C157" s="20"/>
      <c r="D157" s="21"/>
      <c r="E157" s="19"/>
      <c r="F157" s="20"/>
      <c r="G157" s="20"/>
      <c r="H157" s="20"/>
      <c r="I157" s="20"/>
      <c r="J157" s="20"/>
      <c r="K157" s="41"/>
      <c r="L157" s="19"/>
      <c r="M157" s="24"/>
      <c r="N157" s="24"/>
      <c r="O157" s="22"/>
      <c r="P157" s="22"/>
      <c r="Q157" s="22"/>
    </row>
    <row r="158" spans="1:17" s="8" customFormat="1" ht="47.25" x14ac:dyDescent="0.25">
      <c r="A158" s="9">
        <f>A156+1</f>
        <v>105</v>
      </c>
      <c r="B158" s="32" t="s">
        <v>842</v>
      </c>
      <c r="C158" s="9"/>
      <c r="D158" s="10"/>
      <c r="E158" s="11" t="s">
        <v>22</v>
      </c>
      <c r="F158" s="10" t="s">
        <v>843</v>
      </c>
      <c r="G158" s="10" t="s">
        <v>844</v>
      </c>
      <c r="H158" s="10" t="s">
        <v>845</v>
      </c>
      <c r="I158" s="9" t="s">
        <v>36</v>
      </c>
      <c r="J158" s="12" t="s">
        <v>27</v>
      </c>
      <c r="K158" s="51" t="s">
        <v>58</v>
      </c>
      <c r="L158" s="52" t="s">
        <v>27</v>
      </c>
      <c r="M158" s="55"/>
      <c r="N158" s="57" t="s">
        <v>846</v>
      </c>
      <c r="O158" s="38" t="s">
        <v>847</v>
      </c>
      <c r="P158" s="40" t="s">
        <v>30</v>
      </c>
      <c r="Q158" s="40" t="s">
        <v>30</v>
      </c>
    </row>
    <row r="159" spans="1:17" s="8" customFormat="1" ht="31.5" x14ac:dyDescent="0.25">
      <c r="A159" s="9">
        <f>A158+1</f>
        <v>106</v>
      </c>
      <c r="B159" s="32" t="s">
        <v>848</v>
      </c>
      <c r="C159" s="9"/>
      <c r="D159" s="10"/>
      <c r="E159" s="11" t="s">
        <v>22</v>
      </c>
      <c r="F159" s="10" t="s">
        <v>849</v>
      </c>
      <c r="G159" s="10" t="s">
        <v>850</v>
      </c>
      <c r="H159" s="10" t="s">
        <v>25</v>
      </c>
      <c r="I159" s="9" t="s">
        <v>26</v>
      </c>
      <c r="J159" s="12" t="s">
        <v>27</v>
      </c>
      <c r="K159" s="51" t="s">
        <v>58</v>
      </c>
      <c r="L159" s="52" t="s">
        <v>27</v>
      </c>
      <c r="M159" s="55"/>
      <c r="N159" s="57" t="s">
        <v>851</v>
      </c>
      <c r="O159" s="40" t="s">
        <v>30</v>
      </c>
      <c r="P159" s="40" t="s">
        <v>30</v>
      </c>
      <c r="Q159" s="40" t="s">
        <v>30</v>
      </c>
    </row>
    <row r="160" spans="1:17" s="8" customFormat="1" ht="283.5" x14ac:dyDescent="0.25">
      <c r="A160" s="9">
        <f>A159+1</f>
        <v>107</v>
      </c>
      <c r="B160" s="32" t="s">
        <v>852</v>
      </c>
      <c r="C160" s="9" t="s">
        <v>137</v>
      </c>
      <c r="D160" s="10"/>
      <c r="E160" s="11" t="s">
        <v>22</v>
      </c>
      <c r="F160" s="10" t="s">
        <v>853</v>
      </c>
      <c r="G160" s="10" t="s">
        <v>854</v>
      </c>
      <c r="H160" s="10" t="s">
        <v>855</v>
      </c>
      <c r="I160" s="9" t="s">
        <v>856</v>
      </c>
      <c r="J160" s="12" t="s">
        <v>27</v>
      </c>
      <c r="K160" s="54" t="s">
        <v>168</v>
      </c>
      <c r="L160" s="52" t="s">
        <v>59</v>
      </c>
      <c r="M160" s="55" t="s">
        <v>857</v>
      </c>
      <c r="N160" s="47" t="s">
        <v>858</v>
      </c>
      <c r="O160" s="48" t="s">
        <v>859</v>
      </c>
      <c r="P160" s="48" t="s">
        <v>860</v>
      </c>
      <c r="Q160" s="38" t="s">
        <v>861</v>
      </c>
    </row>
    <row r="161" spans="1:17" s="8" customFormat="1" ht="78.75" x14ac:dyDescent="0.25">
      <c r="A161" s="9" t="s">
        <v>176</v>
      </c>
      <c r="B161" s="32" t="s">
        <v>852</v>
      </c>
      <c r="C161" s="9" t="s">
        <v>862</v>
      </c>
      <c r="D161" s="10"/>
      <c r="E161" s="11" t="s">
        <v>22</v>
      </c>
      <c r="F161" s="10"/>
      <c r="G161" s="10"/>
      <c r="H161" s="10"/>
      <c r="I161" s="9"/>
      <c r="J161" s="12"/>
      <c r="K161" s="54" t="s">
        <v>168</v>
      </c>
      <c r="L161" s="52" t="s">
        <v>59</v>
      </c>
      <c r="M161" s="55" t="s">
        <v>863</v>
      </c>
      <c r="N161" s="57" t="s">
        <v>864</v>
      </c>
      <c r="O161" s="38"/>
      <c r="P161" s="38"/>
      <c r="Q161" s="38"/>
    </row>
    <row r="162" spans="1:17" s="8" customFormat="1" ht="283.5" x14ac:dyDescent="0.25">
      <c r="A162" s="9" t="s">
        <v>176</v>
      </c>
      <c r="B162" s="32" t="s">
        <v>852</v>
      </c>
      <c r="C162" s="9" t="s">
        <v>227</v>
      </c>
      <c r="D162" s="10"/>
      <c r="E162" s="11" t="s">
        <v>22</v>
      </c>
      <c r="F162" s="10"/>
      <c r="G162" s="10"/>
      <c r="H162" s="10"/>
      <c r="I162" s="9"/>
      <c r="J162" s="12"/>
      <c r="K162" s="54" t="s">
        <v>177</v>
      </c>
      <c r="L162" s="52" t="s">
        <v>59</v>
      </c>
      <c r="M162" s="55"/>
      <c r="N162" s="57" t="s">
        <v>865</v>
      </c>
      <c r="O162" s="38" t="s">
        <v>866</v>
      </c>
      <c r="P162" s="38" t="s">
        <v>867</v>
      </c>
      <c r="Q162" s="38" t="s">
        <v>868</v>
      </c>
    </row>
    <row r="163" spans="1:17" s="8" customFormat="1" ht="283.5" x14ac:dyDescent="0.25">
      <c r="A163" s="9">
        <f>A160+1</f>
        <v>108</v>
      </c>
      <c r="B163" s="32" t="s">
        <v>869</v>
      </c>
      <c r="C163" s="9" t="s">
        <v>137</v>
      </c>
      <c r="D163" s="10"/>
      <c r="E163" s="11" t="s">
        <v>22</v>
      </c>
      <c r="F163" s="10" t="s">
        <v>853</v>
      </c>
      <c r="G163" s="10" t="s">
        <v>870</v>
      </c>
      <c r="H163" s="10" t="s">
        <v>871</v>
      </c>
      <c r="I163" s="9" t="s">
        <v>200</v>
      </c>
      <c r="J163" s="12" t="s">
        <v>27</v>
      </c>
      <c r="K163" s="54" t="s">
        <v>168</v>
      </c>
      <c r="L163" s="52" t="s">
        <v>59</v>
      </c>
      <c r="M163" s="55" t="s">
        <v>857</v>
      </c>
      <c r="N163" s="47" t="s">
        <v>858</v>
      </c>
      <c r="O163" s="48" t="s">
        <v>859</v>
      </c>
      <c r="P163" s="48" t="s">
        <v>860</v>
      </c>
      <c r="Q163" s="38" t="s">
        <v>861</v>
      </c>
    </row>
    <row r="164" spans="1:17" s="8" customFormat="1" ht="283.5" x14ac:dyDescent="0.25">
      <c r="A164" s="9" t="s">
        <v>173</v>
      </c>
      <c r="B164" s="32" t="s">
        <v>869</v>
      </c>
      <c r="C164" s="9" t="s">
        <v>227</v>
      </c>
      <c r="D164" s="11" t="s">
        <v>22</v>
      </c>
      <c r="E164" s="11" t="s">
        <v>22</v>
      </c>
      <c r="F164" s="10"/>
      <c r="G164" s="10"/>
      <c r="H164" s="10"/>
      <c r="I164" s="9"/>
      <c r="J164" s="12"/>
      <c r="K164" s="54" t="s">
        <v>177</v>
      </c>
      <c r="L164" s="52" t="s">
        <v>59</v>
      </c>
      <c r="M164" s="55"/>
      <c r="N164" s="57" t="s">
        <v>865</v>
      </c>
      <c r="O164" s="38" t="s">
        <v>866</v>
      </c>
      <c r="P164" s="38" t="s">
        <v>867</v>
      </c>
      <c r="Q164" s="38" t="s">
        <v>868</v>
      </c>
    </row>
    <row r="165" spans="1:17" s="8" customFormat="1" ht="75" x14ac:dyDescent="0.25">
      <c r="A165" s="9">
        <f>A163+1</f>
        <v>109</v>
      </c>
      <c r="B165" s="32" t="s">
        <v>872</v>
      </c>
      <c r="C165" s="9"/>
      <c r="D165" s="10"/>
      <c r="E165" s="11" t="s">
        <v>22</v>
      </c>
      <c r="F165" s="10" t="s">
        <v>873</v>
      </c>
      <c r="G165" s="10" t="s">
        <v>874</v>
      </c>
      <c r="H165" s="10" t="s">
        <v>875</v>
      </c>
      <c r="I165" s="9" t="s">
        <v>36</v>
      </c>
      <c r="J165" s="12" t="s">
        <v>59</v>
      </c>
      <c r="K165" s="51" t="s">
        <v>58</v>
      </c>
      <c r="L165" s="52" t="s">
        <v>59</v>
      </c>
      <c r="M165" s="55"/>
      <c r="N165" s="57" t="s">
        <v>876</v>
      </c>
      <c r="O165" s="38" t="s">
        <v>877</v>
      </c>
      <c r="P165" s="38" t="s">
        <v>878</v>
      </c>
      <c r="Q165" s="40" t="s">
        <v>30</v>
      </c>
    </row>
    <row r="166" spans="1:17" s="8" customFormat="1" ht="78.75" x14ac:dyDescent="0.25">
      <c r="A166" s="9">
        <f>A165+1</f>
        <v>110</v>
      </c>
      <c r="B166" s="32" t="s">
        <v>879</v>
      </c>
      <c r="C166" s="9"/>
      <c r="D166" s="10"/>
      <c r="E166" s="11" t="s">
        <v>22</v>
      </c>
      <c r="F166" s="10" t="s">
        <v>880</v>
      </c>
      <c r="G166" s="10" t="s">
        <v>881</v>
      </c>
      <c r="H166" s="10" t="s">
        <v>25</v>
      </c>
      <c r="I166" s="9" t="s">
        <v>26</v>
      </c>
      <c r="J166" s="12" t="s">
        <v>59</v>
      </c>
      <c r="K166" s="51" t="s">
        <v>79</v>
      </c>
      <c r="L166" s="52" t="s">
        <v>59</v>
      </c>
      <c r="M166" s="55"/>
      <c r="N166" s="57" t="s">
        <v>882</v>
      </c>
      <c r="O166" s="40" t="s">
        <v>30</v>
      </c>
      <c r="P166" s="38" t="s">
        <v>883</v>
      </c>
      <c r="Q166" s="40"/>
    </row>
    <row r="167" spans="1:17" s="8" customFormat="1" ht="47.25" x14ac:dyDescent="0.25">
      <c r="A167" s="9">
        <f t="shared" ref="A167" si="6">A166+1</f>
        <v>111</v>
      </c>
      <c r="B167" s="32" t="s">
        <v>884</v>
      </c>
      <c r="C167" s="9"/>
      <c r="D167" s="10"/>
      <c r="E167" s="11" t="s">
        <v>22</v>
      </c>
      <c r="F167" s="10" t="s">
        <v>885</v>
      </c>
      <c r="G167" s="10" t="s">
        <v>886</v>
      </c>
      <c r="H167" s="10" t="s">
        <v>887</v>
      </c>
      <c r="I167" s="9" t="s">
        <v>888</v>
      </c>
      <c r="J167" s="12" t="s">
        <v>59</v>
      </c>
      <c r="K167" s="51" t="s">
        <v>79</v>
      </c>
      <c r="L167" s="52" t="s">
        <v>59</v>
      </c>
      <c r="M167" s="55" t="s">
        <v>889</v>
      </c>
      <c r="N167" s="57" t="s">
        <v>890</v>
      </c>
      <c r="O167" s="40" t="s">
        <v>149</v>
      </c>
      <c r="P167" s="38" t="s">
        <v>891</v>
      </c>
      <c r="Q167" s="40" t="s">
        <v>30</v>
      </c>
    </row>
    <row r="168" spans="1:17" s="8" customFormat="1" ht="47.25" x14ac:dyDescent="0.25">
      <c r="A168" s="9"/>
      <c r="B168" s="32" t="s">
        <v>884</v>
      </c>
      <c r="C168" s="9"/>
      <c r="D168" s="10"/>
      <c r="E168" s="11" t="s">
        <v>22</v>
      </c>
      <c r="F168" s="10"/>
      <c r="G168" s="10"/>
      <c r="H168" s="10"/>
      <c r="I168" s="9"/>
      <c r="J168" s="12"/>
      <c r="K168" s="51" t="s">
        <v>58</v>
      </c>
      <c r="L168" s="52" t="s">
        <v>59</v>
      </c>
      <c r="M168" s="55" t="s">
        <v>892</v>
      </c>
      <c r="N168" s="57" t="s">
        <v>890</v>
      </c>
      <c r="O168" s="40" t="s">
        <v>149</v>
      </c>
      <c r="P168" s="38" t="s">
        <v>891</v>
      </c>
      <c r="Q168" s="40" t="s">
        <v>30</v>
      </c>
    </row>
    <row r="169" spans="1:17" s="14" customFormat="1" ht="135" x14ac:dyDescent="0.25">
      <c r="A169" s="9">
        <f>A167+1</f>
        <v>112</v>
      </c>
      <c r="B169" s="32" t="s">
        <v>893</v>
      </c>
      <c r="C169" s="9"/>
      <c r="D169" s="10"/>
      <c r="E169" s="11" t="s">
        <v>22</v>
      </c>
      <c r="F169" s="10" t="s">
        <v>894</v>
      </c>
      <c r="G169" s="10" t="s">
        <v>895</v>
      </c>
      <c r="H169" s="10" t="s">
        <v>896</v>
      </c>
      <c r="I169" s="9" t="s">
        <v>897</v>
      </c>
      <c r="J169" s="12" t="s">
        <v>59</v>
      </c>
      <c r="K169" s="51" t="s">
        <v>58</v>
      </c>
      <c r="L169" s="52" t="s">
        <v>59</v>
      </c>
      <c r="M169" s="55"/>
      <c r="N169" s="57" t="s">
        <v>898</v>
      </c>
      <c r="O169" s="38" t="s">
        <v>899</v>
      </c>
      <c r="P169" s="38" t="s">
        <v>900</v>
      </c>
      <c r="Q169" s="40" t="s">
        <v>30</v>
      </c>
    </row>
    <row r="170" spans="1:17" s="8" customFormat="1" ht="47.25" x14ac:dyDescent="0.25">
      <c r="A170" s="9">
        <f>A169+1</f>
        <v>113</v>
      </c>
      <c r="B170" s="32" t="s">
        <v>901</v>
      </c>
      <c r="C170" s="9" t="s">
        <v>227</v>
      </c>
      <c r="D170" s="10"/>
      <c r="E170" s="11" t="s">
        <v>22</v>
      </c>
      <c r="F170" s="10" t="s">
        <v>902</v>
      </c>
      <c r="G170" s="43" t="s">
        <v>903</v>
      </c>
      <c r="H170" s="10" t="s">
        <v>904</v>
      </c>
      <c r="I170" s="9" t="s">
        <v>36</v>
      </c>
      <c r="J170" s="12" t="s">
        <v>27</v>
      </c>
      <c r="K170" s="51" t="s">
        <v>79</v>
      </c>
      <c r="L170" s="52" t="s">
        <v>27</v>
      </c>
      <c r="M170" s="55"/>
      <c r="N170" s="57" t="s">
        <v>905</v>
      </c>
      <c r="O170" s="40" t="s">
        <v>906</v>
      </c>
      <c r="P170" s="40" t="s">
        <v>30</v>
      </c>
      <c r="Q170" s="40" t="s">
        <v>30</v>
      </c>
    </row>
    <row r="171" spans="1:17" s="8" customFormat="1" ht="47.25" x14ac:dyDescent="0.25">
      <c r="A171" s="9">
        <f>A170+1</f>
        <v>114</v>
      </c>
      <c r="B171" s="32" t="s">
        <v>907</v>
      </c>
      <c r="C171" s="9"/>
      <c r="D171" s="10"/>
      <c r="E171" s="11" t="s">
        <v>22</v>
      </c>
      <c r="F171" s="10" t="s">
        <v>908</v>
      </c>
      <c r="G171" s="10" t="s">
        <v>909</v>
      </c>
      <c r="H171" s="10" t="s">
        <v>25</v>
      </c>
      <c r="I171" s="9" t="s">
        <v>26</v>
      </c>
      <c r="J171" s="12" t="s">
        <v>27</v>
      </c>
      <c r="K171" s="51" t="s">
        <v>79</v>
      </c>
      <c r="L171" s="52" t="s">
        <v>27</v>
      </c>
      <c r="M171" s="55"/>
      <c r="N171" s="57" t="s">
        <v>910</v>
      </c>
      <c r="O171" s="40" t="s">
        <v>30</v>
      </c>
      <c r="P171" s="40" t="s">
        <v>30</v>
      </c>
      <c r="Q171" s="40" t="s">
        <v>30</v>
      </c>
    </row>
    <row r="172" spans="1:17" s="8" customFormat="1" ht="141.75" x14ac:dyDescent="0.25">
      <c r="A172" s="9">
        <f>A171+1</f>
        <v>115</v>
      </c>
      <c r="B172" s="32" t="s">
        <v>911</v>
      </c>
      <c r="C172" s="9" t="s">
        <v>227</v>
      </c>
      <c r="D172" s="10"/>
      <c r="E172" s="11" t="s">
        <v>22</v>
      </c>
      <c r="F172" s="43" t="s">
        <v>912</v>
      </c>
      <c r="G172" s="43" t="s">
        <v>913</v>
      </c>
      <c r="H172" s="43" t="s">
        <v>914</v>
      </c>
      <c r="I172" s="9" t="s">
        <v>36</v>
      </c>
      <c r="J172" s="12" t="s">
        <v>59</v>
      </c>
      <c r="K172" s="51" t="s">
        <v>79</v>
      </c>
      <c r="L172" s="52" t="s">
        <v>59</v>
      </c>
      <c r="M172" s="55" t="s">
        <v>915</v>
      </c>
      <c r="N172" s="57" t="s">
        <v>916</v>
      </c>
      <c r="O172" s="38" t="s">
        <v>917</v>
      </c>
      <c r="P172" s="38" t="s">
        <v>918</v>
      </c>
      <c r="Q172" s="40" t="s">
        <v>30</v>
      </c>
    </row>
    <row r="173" spans="1:17" s="8" customFormat="1" ht="141.75" x14ac:dyDescent="0.25">
      <c r="A173" s="9" t="s">
        <v>173</v>
      </c>
      <c r="B173" s="32" t="s">
        <v>911</v>
      </c>
      <c r="C173" s="9" t="s">
        <v>137</v>
      </c>
      <c r="D173" s="10"/>
      <c r="E173" s="11" t="s">
        <v>22</v>
      </c>
      <c r="F173" s="10"/>
      <c r="G173" s="10"/>
      <c r="H173" s="10"/>
      <c r="I173" s="9"/>
      <c r="J173" s="12" t="s">
        <v>59</v>
      </c>
      <c r="K173" s="51" t="s">
        <v>58</v>
      </c>
      <c r="L173" s="52" t="s">
        <v>59</v>
      </c>
      <c r="M173" s="55" t="s">
        <v>444</v>
      </c>
      <c r="N173" s="57" t="s">
        <v>919</v>
      </c>
      <c r="O173" s="38" t="s">
        <v>920</v>
      </c>
      <c r="P173" s="38" t="s">
        <v>921</v>
      </c>
      <c r="Q173" s="40"/>
    </row>
    <row r="174" spans="1:17" s="8" customFormat="1" ht="105" x14ac:dyDescent="0.25">
      <c r="A174" s="9">
        <f>A172+1</f>
        <v>116</v>
      </c>
      <c r="B174" s="32" t="s">
        <v>922</v>
      </c>
      <c r="C174" s="9"/>
      <c r="D174" s="10"/>
      <c r="E174" s="11" t="s">
        <v>22</v>
      </c>
      <c r="F174" s="10" t="s">
        <v>923</v>
      </c>
      <c r="G174" s="10" t="s">
        <v>924</v>
      </c>
      <c r="H174" s="10" t="s">
        <v>25</v>
      </c>
      <c r="I174" s="9" t="s">
        <v>26</v>
      </c>
      <c r="J174" s="12" t="s">
        <v>59</v>
      </c>
      <c r="K174" s="51" t="s">
        <v>58</v>
      </c>
      <c r="L174" s="52" t="s">
        <v>59</v>
      </c>
      <c r="M174" s="55" t="s">
        <v>925</v>
      </c>
      <c r="N174" s="57" t="s">
        <v>926</v>
      </c>
      <c r="O174" s="40" t="s">
        <v>30</v>
      </c>
      <c r="P174" s="38" t="s">
        <v>927</v>
      </c>
      <c r="Q174" s="40" t="s">
        <v>30</v>
      </c>
    </row>
    <row r="175" spans="1:17" s="8" customFormat="1" ht="15.75" hidden="1" x14ac:dyDescent="0.25">
      <c r="A175" s="19" t="s">
        <v>928</v>
      </c>
      <c r="B175" s="20" t="s">
        <v>929</v>
      </c>
      <c r="C175" s="20"/>
      <c r="D175" s="21"/>
      <c r="E175" s="19"/>
      <c r="F175" s="20"/>
      <c r="G175" s="20"/>
      <c r="H175" s="20"/>
      <c r="I175" s="20"/>
      <c r="J175" s="20"/>
      <c r="K175" s="41"/>
      <c r="L175" s="19"/>
      <c r="M175" s="24"/>
      <c r="N175" s="24"/>
      <c r="O175" s="22"/>
      <c r="P175" s="22"/>
      <c r="Q175" s="22"/>
    </row>
    <row r="176" spans="1:17" s="8" customFormat="1" ht="47.25" x14ac:dyDescent="0.25">
      <c r="A176" s="9">
        <f>A174+1</f>
        <v>117</v>
      </c>
      <c r="B176" s="32" t="s">
        <v>930</v>
      </c>
      <c r="C176" s="9"/>
      <c r="D176" s="10"/>
      <c r="E176" s="11" t="s">
        <v>22</v>
      </c>
      <c r="F176" s="10" t="s">
        <v>931</v>
      </c>
      <c r="G176" s="10" t="s">
        <v>932</v>
      </c>
      <c r="H176" s="10" t="s">
        <v>933</v>
      </c>
      <c r="I176" s="9" t="s">
        <v>934</v>
      </c>
      <c r="J176" s="12" t="s">
        <v>27</v>
      </c>
      <c r="K176" s="51" t="s">
        <v>58</v>
      </c>
      <c r="L176" s="52" t="s">
        <v>27</v>
      </c>
      <c r="M176" s="55"/>
      <c r="N176" s="57" t="s">
        <v>935</v>
      </c>
      <c r="O176" s="40" t="s">
        <v>936</v>
      </c>
      <c r="P176" s="40" t="s">
        <v>30</v>
      </c>
      <c r="Q176" s="40" t="s">
        <v>30</v>
      </c>
    </row>
    <row r="177" spans="1:17" s="23" customFormat="1" ht="31.5" x14ac:dyDescent="0.25">
      <c r="A177" s="9">
        <f t="shared" ref="A177:A199" si="7">A176+1</f>
        <v>118</v>
      </c>
      <c r="B177" s="32" t="s">
        <v>937</v>
      </c>
      <c r="C177" s="9"/>
      <c r="D177" s="10"/>
      <c r="E177" s="11" t="s">
        <v>22</v>
      </c>
      <c r="F177" s="10" t="s">
        <v>938</v>
      </c>
      <c r="G177" s="10" t="s">
        <v>939</v>
      </c>
      <c r="H177" s="10" t="s">
        <v>940</v>
      </c>
      <c r="I177" s="9" t="s">
        <v>36</v>
      </c>
      <c r="J177" s="12" t="s">
        <v>27</v>
      </c>
      <c r="K177" s="51" t="s">
        <v>58</v>
      </c>
      <c r="L177" s="52" t="s">
        <v>27</v>
      </c>
      <c r="M177" s="55"/>
      <c r="N177" s="57" t="s">
        <v>941</v>
      </c>
      <c r="O177" s="40" t="s">
        <v>942</v>
      </c>
      <c r="P177" s="40" t="s">
        <v>30</v>
      </c>
      <c r="Q177" s="40" t="s">
        <v>30</v>
      </c>
    </row>
    <row r="178" spans="1:17" s="8" customFormat="1" ht="15.75" hidden="1" x14ac:dyDescent="0.25">
      <c r="A178" s="19" t="s">
        <v>943</v>
      </c>
      <c r="B178" s="20" t="s">
        <v>944</v>
      </c>
      <c r="C178" s="20"/>
      <c r="D178" s="21"/>
      <c r="E178" s="19"/>
      <c r="F178" s="20"/>
      <c r="G178" s="20"/>
      <c r="H178" s="20"/>
      <c r="I178" s="20"/>
      <c r="J178" s="20"/>
      <c r="K178" s="41"/>
      <c r="L178" s="19"/>
      <c r="M178" s="24"/>
      <c r="N178" s="24"/>
      <c r="O178" s="22"/>
      <c r="P178" s="22"/>
      <c r="Q178" s="22"/>
    </row>
    <row r="179" spans="1:17" s="8" customFormat="1" ht="47.25" x14ac:dyDescent="0.25">
      <c r="A179" s="9">
        <f>A177+1</f>
        <v>119</v>
      </c>
      <c r="B179" s="32" t="s">
        <v>945</v>
      </c>
      <c r="C179" s="9"/>
      <c r="D179" s="10"/>
      <c r="E179" s="11" t="s">
        <v>22</v>
      </c>
      <c r="F179" s="10" t="s">
        <v>946</v>
      </c>
      <c r="G179" s="10" t="s">
        <v>947</v>
      </c>
      <c r="H179" s="10" t="s">
        <v>948</v>
      </c>
      <c r="I179" s="9" t="s">
        <v>36</v>
      </c>
      <c r="J179" s="12" t="s">
        <v>27</v>
      </c>
      <c r="K179" s="51" t="s">
        <v>58</v>
      </c>
      <c r="L179" s="52" t="s">
        <v>27</v>
      </c>
      <c r="M179" s="55"/>
      <c r="N179" s="57" t="s">
        <v>949</v>
      </c>
      <c r="O179" s="38" t="s">
        <v>950</v>
      </c>
      <c r="P179" s="40" t="s">
        <v>30</v>
      </c>
      <c r="Q179" s="40" t="s">
        <v>30</v>
      </c>
    </row>
    <row r="180" spans="1:17" s="8" customFormat="1" ht="47.25" x14ac:dyDescent="0.25">
      <c r="A180" s="9">
        <f t="shared" si="7"/>
        <v>120</v>
      </c>
      <c r="B180" s="32" t="s">
        <v>951</v>
      </c>
      <c r="C180" s="9"/>
      <c r="D180" s="10"/>
      <c r="E180" s="11" t="s">
        <v>22</v>
      </c>
      <c r="F180" s="10" t="s">
        <v>952</v>
      </c>
      <c r="G180" s="10" t="s">
        <v>953</v>
      </c>
      <c r="H180" s="10" t="s">
        <v>954</v>
      </c>
      <c r="I180" s="9" t="s">
        <v>955</v>
      </c>
      <c r="J180" s="12" t="s">
        <v>27</v>
      </c>
      <c r="K180" s="51" t="s">
        <v>58</v>
      </c>
      <c r="L180" s="52" t="s">
        <v>27</v>
      </c>
      <c r="M180" s="55"/>
      <c r="N180" s="57" t="s">
        <v>956</v>
      </c>
      <c r="O180" s="38" t="s">
        <v>957</v>
      </c>
      <c r="P180" s="40" t="s">
        <v>30</v>
      </c>
      <c r="Q180" s="40" t="s">
        <v>30</v>
      </c>
    </row>
    <row r="181" spans="1:17" s="8" customFormat="1" ht="31.5" x14ac:dyDescent="0.25">
      <c r="A181" s="9">
        <f>A180+1</f>
        <v>121</v>
      </c>
      <c r="B181" s="32" t="s">
        <v>958</v>
      </c>
      <c r="C181" s="9"/>
      <c r="D181" s="10"/>
      <c r="E181" s="11" t="s">
        <v>22</v>
      </c>
      <c r="F181" s="10" t="s">
        <v>959</v>
      </c>
      <c r="G181" s="10" t="s">
        <v>960</v>
      </c>
      <c r="H181" s="10" t="s">
        <v>961</v>
      </c>
      <c r="I181" s="9" t="s">
        <v>955</v>
      </c>
      <c r="J181" s="12" t="s">
        <v>27</v>
      </c>
      <c r="K181" s="51" t="s">
        <v>58</v>
      </c>
      <c r="L181" s="52" t="s">
        <v>27</v>
      </c>
      <c r="M181" s="55"/>
      <c r="N181" s="57" t="s">
        <v>962</v>
      </c>
      <c r="O181" s="40" t="s">
        <v>963</v>
      </c>
      <c r="P181" s="40" t="s">
        <v>30</v>
      </c>
      <c r="Q181" s="40" t="s">
        <v>30</v>
      </c>
    </row>
    <row r="182" spans="1:17" s="8" customFormat="1" ht="31.5" x14ac:dyDescent="0.25">
      <c r="A182" s="9">
        <f>A181+1</f>
        <v>122</v>
      </c>
      <c r="B182" s="32" t="s">
        <v>964</v>
      </c>
      <c r="C182" s="9"/>
      <c r="D182" s="10"/>
      <c r="E182" s="11" t="s">
        <v>22</v>
      </c>
      <c r="F182" s="10" t="s">
        <v>965</v>
      </c>
      <c r="G182" s="10" t="s">
        <v>966</v>
      </c>
      <c r="H182" s="10" t="s">
        <v>25</v>
      </c>
      <c r="I182" s="9" t="s">
        <v>26</v>
      </c>
      <c r="J182" s="12" t="s">
        <v>27</v>
      </c>
      <c r="K182" s="51" t="s">
        <v>58</v>
      </c>
      <c r="L182" s="52" t="s">
        <v>27</v>
      </c>
      <c r="M182" s="55"/>
      <c r="N182" s="57" t="s">
        <v>967</v>
      </c>
      <c r="O182" s="40" t="s">
        <v>30</v>
      </c>
      <c r="P182" s="40" t="s">
        <v>30</v>
      </c>
      <c r="Q182" s="40" t="s">
        <v>30</v>
      </c>
    </row>
    <row r="183" spans="1:17" s="8" customFormat="1" ht="31.5" x14ac:dyDescent="0.25">
      <c r="A183" s="9">
        <f t="shared" si="7"/>
        <v>123</v>
      </c>
      <c r="B183" s="32" t="s">
        <v>968</v>
      </c>
      <c r="C183" s="9"/>
      <c r="D183" s="10"/>
      <c r="E183" s="11" t="s">
        <v>22</v>
      </c>
      <c r="F183" s="10" t="s">
        <v>969</v>
      </c>
      <c r="G183" s="10" t="s">
        <v>970</v>
      </c>
      <c r="H183" s="10" t="s">
        <v>25</v>
      </c>
      <c r="I183" s="9" t="s">
        <v>26</v>
      </c>
      <c r="J183" s="12" t="s">
        <v>27</v>
      </c>
      <c r="K183" s="51" t="s">
        <v>58</v>
      </c>
      <c r="L183" s="52" t="s">
        <v>27</v>
      </c>
      <c r="M183" s="55"/>
      <c r="N183" s="57" t="s">
        <v>971</v>
      </c>
      <c r="O183" s="40" t="s">
        <v>30</v>
      </c>
      <c r="P183" s="40" t="s">
        <v>30</v>
      </c>
      <c r="Q183" s="40" t="s">
        <v>30</v>
      </c>
    </row>
    <row r="184" spans="1:17" s="8" customFormat="1" ht="47.25" x14ac:dyDescent="0.25">
      <c r="A184" s="9">
        <f t="shared" si="7"/>
        <v>124</v>
      </c>
      <c r="B184" s="32" t="s">
        <v>972</v>
      </c>
      <c r="C184" s="9"/>
      <c r="D184" s="10"/>
      <c r="E184" s="11" t="s">
        <v>22</v>
      </c>
      <c r="F184" s="10" t="s">
        <v>973</v>
      </c>
      <c r="G184" s="10" t="s">
        <v>974</v>
      </c>
      <c r="H184" s="10" t="s">
        <v>975</v>
      </c>
      <c r="I184" s="9" t="s">
        <v>582</v>
      </c>
      <c r="J184" s="12" t="s">
        <v>27</v>
      </c>
      <c r="K184" s="51" t="s">
        <v>58</v>
      </c>
      <c r="L184" s="52" t="s">
        <v>27</v>
      </c>
      <c r="M184" s="55"/>
      <c r="N184" s="57" t="s">
        <v>976</v>
      </c>
      <c r="O184" s="38" t="s">
        <v>977</v>
      </c>
      <c r="P184" s="40" t="s">
        <v>30</v>
      </c>
      <c r="Q184" s="40" t="s">
        <v>30</v>
      </c>
    </row>
    <row r="185" spans="1:17" s="8" customFormat="1" ht="47.25" x14ac:dyDescent="0.25">
      <c r="A185" s="9">
        <f t="shared" si="7"/>
        <v>125</v>
      </c>
      <c r="B185" s="32" t="s">
        <v>978</v>
      </c>
      <c r="C185" s="9"/>
      <c r="D185" s="10"/>
      <c r="E185" s="11" t="s">
        <v>22</v>
      </c>
      <c r="F185" s="10" t="s">
        <v>979</v>
      </c>
      <c r="G185" s="10" t="s">
        <v>980</v>
      </c>
      <c r="H185" s="10" t="s">
        <v>981</v>
      </c>
      <c r="I185" s="9" t="s">
        <v>582</v>
      </c>
      <c r="J185" s="12" t="s">
        <v>27</v>
      </c>
      <c r="K185" s="51" t="s">
        <v>58</v>
      </c>
      <c r="L185" s="52" t="s">
        <v>27</v>
      </c>
      <c r="M185" s="55"/>
      <c r="N185" s="57" t="s">
        <v>982</v>
      </c>
      <c r="O185" s="38" t="s">
        <v>983</v>
      </c>
      <c r="P185" s="40" t="s">
        <v>30</v>
      </c>
      <c r="Q185" s="40" t="s">
        <v>30</v>
      </c>
    </row>
    <row r="186" spans="1:17" s="8" customFormat="1" ht="135" x14ac:dyDescent="0.25">
      <c r="A186" s="9">
        <f>A185+1</f>
        <v>126</v>
      </c>
      <c r="B186" s="32" t="s">
        <v>984</v>
      </c>
      <c r="C186" s="9" t="s">
        <v>137</v>
      </c>
      <c r="D186" s="10"/>
      <c r="E186" s="11" t="s">
        <v>22</v>
      </c>
      <c r="F186" s="10" t="s">
        <v>985</v>
      </c>
      <c r="G186" s="10" t="s">
        <v>986</v>
      </c>
      <c r="H186" s="10" t="s">
        <v>25</v>
      </c>
      <c r="I186" s="9" t="s">
        <v>26</v>
      </c>
      <c r="J186" s="12" t="s">
        <v>78</v>
      </c>
      <c r="K186" s="51" t="s">
        <v>79</v>
      </c>
      <c r="L186" s="52" t="s">
        <v>59</v>
      </c>
      <c r="M186" s="55" t="s">
        <v>915</v>
      </c>
      <c r="N186" s="47" t="s">
        <v>987</v>
      </c>
      <c r="O186" s="48"/>
      <c r="P186" s="48" t="s">
        <v>988</v>
      </c>
      <c r="Q186" s="40" t="s">
        <v>30</v>
      </c>
    </row>
    <row r="187" spans="1:17" s="8" customFormat="1" ht="47.25" x14ac:dyDescent="0.25">
      <c r="A187" s="9">
        <f t="shared" si="7"/>
        <v>127</v>
      </c>
      <c r="B187" s="32" t="s">
        <v>989</v>
      </c>
      <c r="C187" s="9"/>
      <c r="D187" s="10"/>
      <c r="E187" s="11" t="s">
        <v>22</v>
      </c>
      <c r="F187" s="10" t="s">
        <v>990</v>
      </c>
      <c r="G187" s="10" t="s">
        <v>991</v>
      </c>
      <c r="H187" s="10" t="s">
        <v>25</v>
      </c>
      <c r="I187" s="9" t="s">
        <v>26</v>
      </c>
      <c r="J187" s="12" t="s">
        <v>27</v>
      </c>
      <c r="K187" s="51" t="s">
        <v>58</v>
      </c>
      <c r="L187" s="52" t="s">
        <v>27</v>
      </c>
      <c r="M187" s="55"/>
      <c r="N187" s="57" t="s">
        <v>992</v>
      </c>
      <c r="O187" s="40" t="s">
        <v>30</v>
      </c>
      <c r="P187" s="40" t="s">
        <v>30</v>
      </c>
      <c r="Q187" s="40" t="s">
        <v>30</v>
      </c>
    </row>
    <row r="188" spans="1:17" s="8" customFormat="1" ht="47.25" x14ac:dyDescent="0.25">
      <c r="A188" s="9">
        <f t="shared" si="7"/>
        <v>128</v>
      </c>
      <c r="B188" s="32" t="s">
        <v>993</v>
      </c>
      <c r="C188" s="9"/>
      <c r="D188" s="10"/>
      <c r="E188" s="11" t="s">
        <v>22</v>
      </c>
      <c r="F188" s="10" t="s">
        <v>994</v>
      </c>
      <c r="G188" s="10" t="s">
        <v>995</v>
      </c>
      <c r="H188" s="10" t="s">
        <v>996</v>
      </c>
      <c r="I188" s="9" t="s">
        <v>757</v>
      </c>
      <c r="J188" s="12" t="s">
        <v>27</v>
      </c>
      <c r="K188" s="51" t="s">
        <v>58</v>
      </c>
      <c r="L188" s="52" t="s">
        <v>27</v>
      </c>
      <c r="M188" s="55"/>
      <c r="N188" s="57" t="s">
        <v>997</v>
      </c>
      <c r="O188" s="38" t="s">
        <v>998</v>
      </c>
      <c r="P188" s="40" t="s">
        <v>30</v>
      </c>
      <c r="Q188" s="40" t="s">
        <v>30</v>
      </c>
    </row>
    <row r="189" spans="1:17" s="8" customFormat="1" ht="157.5" x14ac:dyDescent="0.25">
      <c r="A189" s="9">
        <f t="shared" si="7"/>
        <v>129</v>
      </c>
      <c r="B189" s="32" t="s">
        <v>999</v>
      </c>
      <c r="C189" s="9"/>
      <c r="D189" s="10"/>
      <c r="E189" s="11" t="s">
        <v>22</v>
      </c>
      <c r="F189" s="10" t="s">
        <v>1000</v>
      </c>
      <c r="G189" s="10" t="s">
        <v>1001</v>
      </c>
      <c r="H189" s="10" t="s">
        <v>1002</v>
      </c>
      <c r="I189" s="9" t="s">
        <v>200</v>
      </c>
      <c r="J189" s="12" t="s">
        <v>27</v>
      </c>
      <c r="K189" s="54" t="s">
        <v>168</v>
      </c>
      <c r="L189" s="52" t="s">
        <v>59</v>
      </c>
      <c r="M189" s="55" t="s">
        <v>60</v>
      </c>
      <c r="N189" s="57" t="s">
        <v>1003</v>
      </c>
      <c r="O189" s="38" t="s">
        <v>1004</v>
      </c>
      <c r="P189" s="38" t="s">
        <v>1005</v>
      </c>
      <c r="Q189" s="40"/>
    </row>
    <row r="190" spans="1:17" s="8" customFormat="1" ht="189" x14ac:dyDescent="0.25">
      <c r="A190" s="9" t="s">
        <v>176</v>
      </c>
      <c r="B190" s="32" t="s">
        <v>999</v>
      </c>
      <c r="C190" s="9"/>
      <c r="D190" s="10"/>
      <c r="E190" s="11" t="s">
        <v>22</v>
      </c>
      <c r="F190" s="10"/>
      <c r="G190" s="10"/>
      <c r="H190" s="10"/>
      <c r="I190" s="9"/>
      <c r="J190" s="12"/>
      <c r="K190" s="54" t="s">
        <v>177</v>
      </c>
      <c r="L190" s="52" t="s">
        <v>59</v>
      </c>
      <c r="M190" s="55" t="s">
        <v>60</v>
      </c>
      <c r="N190" s="57" t="s">
        <v>1006</v>
      </c>
      <c r="O190" s="38" t="s">
        <v>1007</v>
      </c>
      <c r="P190" s="38" t="s">
        <v>1008</v>
      </c>
      <c r="Q190" s="40"/>
    </row>
    <row r="191" spans="1:17" s="23" customFormat="1" ht="91.5" customHeight="1" x14ac:dyDescent="0.25">
      <c r="A191" s="9">
        <f>A189+1</f>
        <v>130</v>
      </c>
      <c r="B191" s="32" t="s">
        <v>1009</v>
      </c>
      <c r="D191" s="10"/>
      <c r="E191" s="11" t="s">
        <v>22</v>
      </c>
      <c r="F191" s="10" t="s">
        <v>1010</v>
      </c>
      <c r="G191" s="10" t="s">
        <v>1011</v>
      </c>
      <c r="H191" s="10" t="s">
        <v>25</v>
      </c>
      <c r="I191" s="9" t="s">
        <v>26</v>
      </c>
      <c r="J191" s="12" t="s">
        <v>78</v>
      </c>
      <c r="K191" s="51" t="s">
        <v>58</v>
      </c>
      <c r="L191" s="52" t="s">
        <v>27</v>
      </c>
      <c r="M191" s="55"/>
      <c r="N191" s="57" t="s">
        <v>1012</v>
      </c>
      <c r="O191" s="40" t="s">
        <v>30</v>
      </c>
      <c r="P191" s="40" t="s">
        <v>30</v>
      </c>
      <c r="Q191" s="40" t="s">
        <v>30</v>
      </c>
    </row>
    <row r="192" spans="1:17" s="23" customFormat="1" ht="135" x14ac:dyDescent="0.25">
      <c r="A192" s="9">
        <f>A191+1</f>
        <v>131</v>
      </c>
      <c r="B192" s="32" t="s">
        <v>1013</v>
      </c>
      <c r="C192" s="9"/>
      <c r="D192" s="10"/>
      <c r="E192" s="11" t="s">
        <v>22</v>
      </c>
      <c r="F192" s="10" t="s">
        <v>1014</v>
      </c>
      <c r="G192" s="10" t="s">
        <v>1015</v>
      </c>
      <c r="H192" s="10" t="s">
        <v>1016</v>
      </c>
      <c r="I192" s="9" t="s">
        <v>36</v>
      </c>
      <c r="J192" s="12" t="s">
        <v>78</v>
      </c>
      <c r="K192" s="51" t="s">
        <v>79</v>
      </c>
      <c r="L192" s="52" t="s">
        <v>59</v>
      </c>
      <c r="M192" s="55" t="s">
        <v>1017</v>
      </c>
      <c r="N192" s="57" t="s">
        <v>1018</v>
      </c>
      <c r="O192" s="58" t="s">
        <v>1019</v>
      </c>
      <c r="P192" s="58" t="s">
        <v>1020</v>
      </c>
      <c r="Q192" s="40" t="s">
        <v>30</v>
      </c>
    </row>
    <row r="193" spans="1:17" s="23" customFormat="1" ht="135" x14ac:dyDescent="0.25">
      <c r="A193" s="9">
        <f t="shared" ref="A193:A195" si="8">A192+1</f>
        <v>132</v>
      </c>
      <c r="B193" s="32" t="s">
        <v>1021</v>
      </c>
      <c r="C193" s="9"/>
      <c r="D193" s="10"/>
      <c r="E193" s="11" t="s">
        <v>22</v>
      </c>
      <c r="F193" s="10" t="s">
        <v>1014</v>
      </c>
      <c r="G193" s="10" t="s">
        <v>1022</v>
      </c>
      <c r="H193" s="10" t="s">
        <v>1016</v>
      </c>
      <c r="I193" s="9" t="s">
        <v>36</v>
      </c>
      <c r="J193" s="12" t="s">
        <v>78</v>
      </c>
      <c r="K193" s="51" t="s">
        <v>79</v>
      </c>
      <c r="L193" s="52" t="s">
        <v>59</v>
      </c>
      <c r="M193" s="55" t="s">
        <v>1017</v>
      </c>
      <c r="N193" s="57" t="s">
        <v>1023</v>
      </c>
      <c r="O193" s="58" t="s">
        <v>1019</v>
      </c>
      <c r="P193" s="58" t="s">
        <v>1024</v>
      </c>
      <c r="Q193" s="40" t="s">
        <v>30</v>
      </c>
    </row>
    <row r="194" spans="1:17" s="23" customFormat="1" ht="135" x14ac:dyDescent="0.25">
      <c r="A194" s="9">
        <f t="shared" si="8"/>
        <v>133</v>
      </c>
      <c r="B194" s="32" t="s">
        <v>1025</v>
      </c>
      <c r="C194" s="9"/>
      <c r="D194" s="10"/>
      <c r="E194" s="11" t="s">
        <v>22</v>
      </c>
      <c r="F194" s="10" t="s">
        <v>1014</v>
      </c>
      <c r="G194" s="10" t="s">
        <v>1026</v>
      </c>
      <c r="H194" s="10" t="s">
        <v>1016</v>
      </c>
      <c r="I194" s="9" t="s">
        <v>36</v>
      </c>
      <c r="J194" s="12" t="s">
        <v>78</v>
      </c>
      <c r="K194" s="51" t="s">
        <v>79</v>
      </c>
      <c r="L194" s="52" t="s">
        <v>59</v>
      </c>
      <c r="M194" s="55" t="s">
        <v>1017</v>
      </c>
      <c r="N194" s="57" t="s">
        <v>1027</v>
      </c>
      <c r="O194" s="58" t="s">
        <v>1019</v>
      </c>
      <c r="P194" s="58" t="s">
        <v>1028</v>
      </c>
      <c r="Q194" s="40" t="s">
        <v>30</v>
      </c>
    </row>
    <row r="195" spans="1:17" s="23" customFormat="1" ht="135" x14ac:dyDescent="0.25">
      <c r="A195" s="9">
        <f t="shared" si="8"/>
        <v>134</v>
      </c>
      <c r="B195" s="32" t="s">
        <v>1029</v>
      </c>
      <c r="C195" s="9"/>
      <c r="D195" s="10"/>
      <c r="E195" s="11" t="s">
        <v>22</v>
      </c>
      <c r="F195" s="10" t="s">
        <v>1014</v>
      </c>
      <c r="G195" s="10" t="s">
        <v>1030</v>
      </c>
      <c r="H195" s="10" t="s">
        <v>1016</v>
      </c>
      <c r="I195" s="9" t="s">
        <v>36</v>
      </c>
      <c r="J195" s="12" t="s">
        <v>78</v>
      </c>
      <c r="K195" s="51" t="s">
        <v>79</v>
      </c>
      <c r="L195" s="52" t="s">
        <v>59</v>
      </c>
      <c r="M195" s="55" t="s">
        <v>1017</v>
      </c>
      <c r="N195" s="57" t="s">
        <v>1031</v>
      </c>
      <c r="O195" s="58" t="s">
        <v>1019</v>
      </c>
      <c r="P195" s="58" t="s">
        <v>1032</v>
      </c>
      <c r="Q195" s="40" t="s">
        <v>30</v>
      </c>
    </row>
    <row r="196" spans="1:17" s="8" customFormat="1" ht="15.75" hidden="1" x14ac:dyDescent="0.25">
      <c r="A196" s="19" t="s">
        <v>1033</v>
      </c>
      <c r="B196" s="20" t="s">
        <v>1034</v>
      </c>
      <c r="C196" s="20"/>
      <c r="D196" s="21"/>
      <c r="E196" s="19"/>
      <c r="F196" s="20"/>
      <c r="G196" s="20"/>
      <c r="H196" s="20"/>
      <c r="I196" s="20"/>
      <c r="J196" s="20"/>
      <c r="K196" s="41"/>
      <c r="L196" s="19"/>
      <c r="M196" s="24"/>
      <c r="N196" s="24"/>
      <c r="O196" s="22"/>
      <c r="P196" s="22"/>
      <c r="Q196" s="22"/>
    </row>
    <row r="197" spans="1:17" s="8" customFormat="1" ht="141.75" x14ac:dyDescent="0.25">
      <c r="A197" s="9">
        <f>A195+1</f>
        <v>135</v>
      </c>
      <c r="B197" s="32" t="s">
        <v>1035</v>
      </c>
      <c r="C197" s="9"/>
      <c r="D197" s="10"/>
      <c r="E197" s="11" t="s">
        <v>22</v>
      </c>
      <c r="F197" s="10" t="s">
        <v>1036</v>
      </c>
      <c r="G197" s="10" t="s">
        <v>1037</v>
      </c>
      <c r="H197" s="10" t="s">
        <v>1038</v>
      </c>
      <c r="I197" s="9" t="s">
        <v>582</v>
      </c>
      <c r="J197" s="12" t="s">
        <v>59</v>
      </c>
      <c r="K197" s="51" t="s">
        <v>79</v>
      </c>
      <c r="L197" s="52" t="s">
        <v>59</v>
      </c>
      <c r="M197" s="55"/>
      <c r="N197" s="57" t="s">
        <v>1039</v>
      </c>
      <c r="O197" s="38" t="s">
        <v>1040</v>
      </c>
      <c r="P197" s="38" t="s">
        <v>1041</v>
      </c>
      <c r="Q197" s="40" t="s">
        <v>30</v>
      </c>
    </row>
    <row r="198" spans="1:17" s="8" customFormat="1" ht="141.75" x14ac:dyDescent="0.25">
      <c r="A198" s="9">
        <f t="shared" si="7"/>
        <v>136</v>
      </c>
      <c r="B198" s="32" t="s">
        <v>1042</v>
      </c>
      <c r="C198" s="9"/>
      <c r="D198" s="10"/>
      <c r="E198" s="11" t="s">
        <v>22</v>
      </c>
      <c r="F198" s="10" t="s">
        <v>1043</v>
      </c>
      <c r="G198" s="10" t="s">
        <v>1044</v>
      </c>
      <c r="H198" s="10" t="s">
        <v>1045</v>
      </c>
      <c r="I198" s="9" t="s">
        <v>582</v>
      </c>
      <c r="J198" s="12" t="s">
        <v>59</v>
      </c>
      <c r="K198" s="51" t="s">
        <v>79</v>
      </c>
      <c r="L198" s="52" t="s">
        <v>59</v>
      </c>
      <c r="M198" s="55"/>
      <c r="N198" s="53" t="s">
        <v>1046</v>
      </c>
      <c r="O198" s="38" t="s">
        <v>1047</v>
      </c>
      <c r="P198" s="38" t="s">
        <v>1048</v>
      </c>
      <c r="Q198" s="40" t="s">
        <v>30</v>
      </c>
    </row>
    <row r="199" spans="1:17" s="23" customFormat="1" ht="141.75" x14ac:dyDescent="0.25">
      <c r="A199" s="9">
        <f t="shared" si="7"/>
        <v>137</v>
      </c>
      <c r="B199" s="32" t="s">
        <v>1049</v>
      </c>
      <c r="C199" s="9"/>
      <c r="D199" s="10"/>
      <c r="E199" s="11" t="s">
        <v>22</v>
      </c>
      <c r="F199" s="10" t="s">
        <v>1050</v>
      </c>
      <c r="G199" s="10" t="s">
        <v>1051</v>
      </c>
      <c r="H199" s="10" t="s">
        <v>1052</v>
      </c>
      <c r="I199" s="9" t="s">
        <v>582</v>
      </c>
      <c r="J199" s="12" t="s">
        <v>59</v>
      </c>
      <c r="K199" s="51" t="s">
        <v>79</v>
      </c>
      <c r="L199" s="52" t="s">
        <v>59</v>
      </c>
      <c r="M199" s="55" t="s">
        <v>1053</v>
      </c>
      <c r="N199" s="53" t="s">
        <v>1054</v>
      </c>
      <c r="O199" s="38" t="s">
        <v>1055</v>
      </c>
      <c r="P199" s="38" t="s">
        <v>1056</v>
      </c>
      <c r="Q199" s="40" t="s">
        <v>30</v>
      </c>
    </row>
    <row r="200" spans="1:17" s="23" customFormat="1" ht="141.75" x14ac:dyDescent="0.25">
      <c r="A200" s="9" t="s">
        <v>176</v>
      </c>
      <c r="B200" s="32" t="s">
        <v>1049</v>
      </c>
      <c r="C200" s="9"/>
      <c r="D200" s="10"/>
      <c r="E200" s="11" t="s">
        <v>22</v>
      </c>
      <c r="F200" s="10"/>
      <c r="G200" s="10"/>
      <c r="H200" s="10"/>
      <c r="I200" s="9"/>
      <c r="J200" s="12"/>
      <c r="K200" s="51" t="s">
        <v>58</v>
      </c>
      <c r="L200" s="52" t="s">
        <v>59</v>
      </c>
      <c r="M200" s="55" t="s">
        <v>1053</v>
      </c>
      <c r="N200" s="53" t="s">
        <v>1057</v>
      </c>
      <c r="O200" s="38" t="s">
        <v>1058</v>
      </c>
      <c r="P200" s="38" t="s">
        <v>1059</v>
      </c>
      <c r="Q200" s="40"/>
    </row>
    <row r="201" spans="1:17" s="8" customFormat="1" ht="15.75" hidden="1" x14ac:dyDescent="0.25">
      <c r="A201" s="19" t="s">
        <v>1060</v>
      </c>
      <c r="B201" s="20" t="s">
        <v>1061</v>
      </c>
      <c r="C201" s="20"/>
      <c r="D201" s="21"/>
      <c r="E201" s="19"/>
      <c r="F201" s="20"/>
      <c r="G201" s="20"/>
      <c r="H201" s="20"/>
      <c r="I201" s="20"/>
      <c r="J201" s="20"/>
      <c r="K201" s="41"/>
      <c r="L201" s="19"/>
      <c r="M201" s="24"/>
      <c r="N201" s="24"/>
      <c r="O201" s="22"/>
      <c r="P201" s="22"/>
      <c r="Q201" s="22"/>
    </row>
    <row r="202" spans="1:17" s="23" customFormat="1" ht="47.25" x14ac:dyDescent="0.25">
      <c r="A202" s="9">
        <f>A199+1</f>
        <v>138</v>
      </c>
      <c r="B202" s="32" t="s">
        <v>1062</v>
      </c>
      <c r="C202" s="9"/>
      <c r="D202" s="10"/>
      <c r="E202" s="11" t="s">
        <v>22</v>
      </c>
      <c r="F202" s="10" t="s">
        <v>1063</v>
      </c>
      <c r="G202" s="10" t="s">
        <v>1064</v>
      </c>
      <c r="H202" s="10" t="s">
        <v>1065</v>
      </c>
      <c r="I202" s="9" t="s">
        <v>36</v>
      </c>
      <c r="J202" s="12" t="s">
        <v>27</v>
      </c>
      <c r="K202" s="51" t="s">
        <v>58</v>
      </c>
      <c r="L202" s="52" t="s">
        <v>27</v>
      </c>
      <c r="M202" s="55"/>
      <c r="N202" s="57" t="s">
        <v>1066</v>
      </c>
      <c r="O202" s="38" t="s">
        <v>1067</v>
      </c>
      <c r="P202" s="40" t="s">
        <v>30</v>
      </c>
      <c r="Q202" s="40" t="s">
        <v>30</v>
      </c>
    </row>
    <row r="203" spans="1:17" s="8" customFormat="1" ht="15.75" hidden="1" x14ac:dyDescent="0.25">
      <c r="A203" s="19" t="s">
        <v>1068</v>
      </c>
      <c r="B203" s="20" t="s">
        <v>1069</v>
      </c>
      <c r="C203" s="20"/>
      <c r="D203" s="21"/>
      <c r="E203" s="19"/>
      <c r="F203" s="20"/>
      <c r="G203" s="20"/>
      <c r="H203" s="20"/>
      <c r="I203" s="20"/>
      <c r="J203" s="20"/>
      <c r="K203" s="41"/>
      <c r="L203" s="19"/>
      <c r="M203" s="24"/>
      <c r="N203" s="24"/>
      <c r="O203" s="22"/>
      <c r="P203" s="22"/>
      <c r="Q203" s="22"/>
    </row>
    <row r="204" spans="1:17" s="8" customFormat="1" ht="47.25" x14ac:dyDescent="0.25">
      <c r="A204" s="9">
        <f>A202+1</f>
        <v>139</v>
      </c>
      <c r="B204" s="32" t="s">
        <v>1070</v>
      </c>
      <c r="C204" s="9"/>
      <c r="D204" s="10"/>
      <c r="E204" s="11" t="s">
        <v>22</v>
      </c>
      <c r="F204" s="10" t="s">
        <v>1071</v>
      </c>
      <c r="G204" s="10" t="s">
        <v>1072</v>
      </c>
      <c r="H204" s="10" t="s">
        <v>1073</v>
      </c>
      <c r="I204" s="9" t="s">
        <v>582</v>
      </c>
      <c r="J204" s="12" t="s">
        <v>27</v>
      </c>
      <c r="K204" s="51" t="s">
        <v>58</v>
      </c>
      <c r="L204" s="52" t="s">
        <v>27</v>
      </c>
      <c r="M204" s="52"/>
      <c r="N204" s="53" t="s">
        <v>1074</v>
      </c>
      <c r="O204" s="53" t="s">
        <v>1075</v>
      </c>
      <c r="P204" s="53" t="s">
        <v>30</v>
      </c>
      <c r="Q204" s="53" t="s">
        <v>30</v>
      </c>
    </row>
    <row r="205" spans="1:17" s="8" customFormat="1" ht="47.25" x14ac:dyDescent="0.25">
      <c r="A205" s="9">
        <f>A204+1</f>
        <v>140</v>
      </c>
      <c r="B205" s="32" t="s">
        <v>1076</v>
      </c>
      <c r="C205" s="9"/>
      <c r="D205" s="10"/>
      <c r="E205" s="11" t="s">
        <v>22</v>
      </c>
      <c r="F205" s="10" t="s">
        <v>1077</v>
      </c>
      <c r="G205" s="10" t="s">
        <v>1078</v>
      </c>
      <c r="H205" s="10" t="s">
        <v>1079</v>
      </c>
      <c r="I205" s="9" t="s">
        <v>582</v>
      </c>
      <c r="J205" s="12" t="s">
        <v>27</v>
      </c>
      <c r="K205" s="51" t="s">
        <v>58</v>
      </c>
      <c r="L205" s="52" t="s">
        <v>27</v>
      </c>
      <c r="M205" s="52"/>
      <c r="N205" s="53" t="s">
        <v>1080</v>
      </c>
      <c r="O205" s="53" t="s">
        <v>1081</v>
      </c>
      <c r="P205" s="53" t="s">
        <v>30</v>
      </c>
      <c r="Q205" s="53" t="s">
        <v>30</v>
      </c>
    </row>
    <row r="206" spans="1:17" s="8" customFormat="1" ht="47.25" x14ac:dyDescent="0.25">
      <c r="A206" s="9">
        <f>A205+1</f>
        <v>141</v>
      </c>
      <c r="B206" s="32" t="s">
        <v>1082</v>
      </c>
      <c r="C206" s="9"/>
      <c r="D206" s="10"/>
      <c r="E206" s="11" t="s">
        <v>22</v>
      </c>
      <c r="F206" s="10" t="s">
        <v>1083</v>
      </c>
      <c r="G206" s="10" t="s">
        <v>1084</v>
      </c>
      <c r="H206" s="10" t="s">
        <v>1085</v>
      </c>
      <c r="I206" s="9" t="s">
        <v>757</v>
      </c>
      <c r="J206" s="12" t="s">
        <v>27</v>
      </c>
      <c r="K206" s="51" t="s">
        <v>58</v>
      </c>
      <c r="L206" s="52" t="s">
        <v>27</v>
      </c>
      <c r="M206" s="52"/>
      <c r="N206" s="53" t="s">
        <v>1086</v>
      </c>
      <c r="O206" s="53" t="s">
        <v>1087</v>
      </c>
      <c r="P206" s="53" t="s">
        <v>30</v>
      </c>
      <c r="Q206" s="53" t="s">
        <v>30</v>
      </c>
    </row>
    <row r="207" spans="1:17" s="8" customFormat="1" ht="31.5" x14ac:dyDescent="0.25">
      <c r="A207" s="9">
        <f>A206+1</f>
        <v>142</v>
      </c>
      <c r="B207" s="32" t="s">
        <v>1088</v>
      </c>
      <c r="C207" s="9"/>
      <c r="D207" s="10"/>
      <c r="E207" s="11" t="s">
        <v>22</v>
      </c>
      <c r="F207" s="10" t="s">
        <v>1089</v>
      </c>
      <c r="G207" s="10" t="s">
        <v>1090</v>
      </c>
      <c r="H207" s="10" t="s">
        <v>25</v>
      </c>
      <c r="I207" s="9" t="s">
        <v>26</v>
      </c>
      <c r="J207" s="12" t="s">
        <v>27</v>
      </c>
      <c r="K207" s="51" t="s">
        <v>58</v>
      </c>
      <c r="L207" s="52" t="s">
        <v>27</v>
      </c>
      <c r="M207" s="52"/>
      <c r="N207" s="53" t="s">
        <v>1091</v>
      </c>
      <c r="O207" s="53" t="s">
        <v>30</v>
      </c>
      <c r="P207" s="53" t="s">
        <v>30</v>
      </c>
      <c r="Q207" s="53" t="s">
        <v>30</v>
      </c>
    </row>
    <row r="208" spans="1:17" s="8" customFormat="1" x14ac:dyDescent="0.25">
      <c r="A208" s="14"/>
      <c r="B208" s="17"/>
      <c r="C208" s="17"/>
      <c r="D208" s="17"/>
      <c r="E208" s="17"/>
      <c r="F208" s="17"/>
      <c r="G208" s="18"/>
      <c r="H208" s="18"/>
      <c r="I208" s="17"/>
      <c r="J208" s="14"/>
      <c r="K208" s="27"/>
      <c r="L208" s="33"/>
      <c r="M208" s="33"/>
      <c r="N208" s="28"/>
      <c r="O208" s="28"/>
      <c r="P208" s="28"/>
      <c r="Q208" s="28"/>
    </row>
    <row r="209" spans="1:17" s="8" customFormat="1" x14ac:dyDescent="0.25">
      <c r="A209" s="14"/>
      <c r="B209" s="17"/>
      <c r="C209" s="17"/>
      <c r="D209" s="17"/>
      <c r="E209" s="17"/>
      <c r="F209" s="17"/>
      <c r="G209" s="18"/>
      <c r="H209" s="18"/>
      <c r="I209" s="17"/>
      <c r="J209" s="14"/>
      <c r="K209" s="27"/>
      <c r="L209" s="33"/>
      <c r="M209" s="33"/>
      <c r="N209" s="28"/>
      <c r="O209" s="28"/>
      <c r="P209" s="28"/>
      <c r="Q209" s="28"/>
    </row>
    <row r="210" spans="1:17" s="8" customFormat="1" x14ac:dyDescent="0.25">
      <c r="A210" s="14"/>
      <c r="B210" s="17"/>
      <c r="C210" s="17"/>
      <c r="D210" s="17"/>
      <c r="E210" s="17"/>
      <c r="F210" s="17"/>
      <c r="G210" s="18"/>
      <c r="H210" s="18"/>
      <c r="I210" s="17"/>
      <c r="J210" s="14"/>
      <c r="K210" s="27"/>
      <c r="L210" s="33"/>
      <c r="M210" s="33"/>
      <c r="N210" s="28"/>
      <c r="O210" s="28"/>
      <c r="P210" s="28"/>
      <c r="Q210" s="28"/>
    </row>
    <row r="211" spans="1:17" s="8" customFormat="1" ht="15.75" x14ac:dyDescent="0.25">
      <c r="A211" s="14"/>
      <c r="B211" s="17"/>
      <c r="C211" s="9"/>
      <c r="D211" s="17"/>
      <c r="E211" s="17"/>
      <c r="F211" s="17"/>
      <c r="G211" s="18"/>
      <c r="H211" s="18"/>
      <c r="I211" s="17"/>
      <c r="J211" s="14"/>
      <c r="K211" s="27"/>
      <c r="L211" s="33"/>
      <c r="M211" s="33"/>
      <c r="N211" s="28"/>
      <c r="O211" s="28"/>
      <c r="P211" s="28"/>
      <c r="Q211" s="28"/>
    </row>
    <row r="212" spans="1:17" s="8" customFormat="1" ht="15.75" x14ac:dyDescent="0.25">
      <c r="A212" s="14"/>
      <c r="B212" s="17"/>
      <c r="C212" s="9"/>
      <c r="D212" s="17"/>
      <c r="E212" s="17"/>
      <c r="F212" s="17"/>
      <c r="G212" s="18"/>
      <c r="H212" s="18"/>
      <c r="I212" s="17"/>
      <c r="J212" s="14"/>
      <c r="K212" s="27"/>
      <c r="L212" s="33"/>
      <c r="M212" s="33"/>
      <c r="N212" s="28"/>
      <c r="O212" s="28"/>
      <c r="P212" s="28"/>
      <c r="Q212" s="28"/>
    </row>
    <row r="213" spans="1:17" s="8" customFormat="1" x14ac:dyDescent="0.25">
      <c r="A213" s="14"/>
      <c r="B213" s="17"/>
      <c r="C213" s="17"/>
      <c r="D213" s="17"/>
      <c r="E213" s="17"/>
      <c r="F213" s="17"/>
      <c r="G213" s="18"/>
      <c r="H213" s="18"/>
      <c r="I213" s="17"/>
      <c r="J213" s="14"/>
      <c r="K213" s="27"/>
      <c r="L213" s="33"/>
      <c r="M213" s="33"/>
      <c r="N213" s="28"/>
      <c r="O213" s="28"/>
      <c r="P213" s="28"/>
      <c r="Q213" s="28"/>
    </row>
    <row r="214" spans="1:17" s="8" customFormat="1" x14ac:dyDescent="0.25">
      <c r="A214" s="14"/>
      <c r="B214" s="17"/>
      <c r="C214" s="17"/>
      <c r="D214" s="17"/>
      <c r="E214" s="17"/>
      <c r="F214" s="17"/>
      <c r="G214" s="18"/>
      <c r="H214" s="18"/>
      <c r="I214" s="17"/>
      <c r="J214" s="14"/>
      <c r="K214" s="27"/>
      <c r="L214" s="33"/>
      <c r="M214" s="33"/>
      <c r="N214" s="28"/>
      <c r="O214" s="28"/>
      <c r="P214" s="28"/>
      <c r="Q214" s="28"/>
    </row>
    <row r="215" spans="1:17" s="8" customFormat="1" x14ac:dyDescent="0.25">
      <c r="A215" s="14"/>
      <c r="B215" s="17"/>
      <c r="C215" s="17"/>
      <c r="D215" s="17"/>
      <c r="E215" s="17"/>
      <c r="F215" s="17"/>
      <c r="G215" s="18"/>
      <c r="H215" s="18"/>
      <c r="I215" s="17"/>
      <c r="J215" s="14"/>
      <c r="K215" s="27"/>
      <c r="L215" s="33"/>
      <c r="M215" s="33"/>
      <c r="N215" s="28"/>
      <c r="O215" s="28"/>
      <c r="P215" s="28"/>
      <c r="Q215" s="28"/>
    </row>
    <row r="216" spans="1:17" s="8" customFormat="1" x14ac:dyDescent="0.25">
      <c r="A216" s="14"/>
      <c r="B216" s="17"/>
      <c r="C216" s="17"/>
      <c r="D216" s="17"/>
      <c r="E216" s="17"/>
      <c r="F216" s="17"/>
      <c r="G216" s="18"/>
      <c r="H216" s="18"/>
      <c r="I216" s="17"/>
      <c r="J216" s="14"/>
      <c r="K216" s="27"/>
      <c r="L216" s="33"/>
      <c r="M216" s="33"/>
      <c r="N216" s="28"/>
      <c r="O216" s="28"/>
      <c r="P216" s="28"/>
      <c r="Q216" s="28"/>
    </row>
    <row r="217" spans="1:17" s="8" customFormat="1" x14ac:dyDescent="0.25">
      <c r="A217" s="14"/>
      <c r="B217" s="17"/>
      <c r="C217" s="17"/>
      <c r="D217" s="17"/>
      <c r="E217" s="17"/>
      <c r="F217" s="17"/>
      <c r="G217" s="18"/>
      <c r="H217" s="18"/>
      <c r="I217" s="17"/>
      <c r="J217" s="14"/>
      <c r="K217" s="27"/>
      <c r="L217" s="33"/>
      <c r="M217" s="33"/>
      <c r="N217" s="28"/>
      <c r="O217" s="28"/>
      <c r="P217" s="28"/>
      <c r="Q217" s="28"/>
    </row>
    <row r="218" spans="1:17" s="8" customFormat="1" x14ac:dyDescent="0.25">
      <c r="B218" s="1"/>
      <c r="C218" s="1"/>
      <c r="D218" s="1"/>
      <c r="E218" s="1"/>
      <c r="F218" s="1"/>
      <c r="G218" s="15"/>
      <c r="H218" s="15"/>
      <c r="I218" s="1"/>
      <c r="K218" s="29"/>
      <c r="L218" s="34"/>
      <c r="M218" s="34"/>
      <c r="N218" s="28"/>
      <c r="O218" s="28"/>
      <c r="P218" s="28"/>
      <c r="Q218" s="28"/>
    </row>
    <row r="219" spans="1:17" s="8" customFormat="1" x14ac:dyDescent="0.25">
      <c r="B219" s="1"/>
      <c r="C219" s="1"/>
      <c r="D219" s="1"/>
      <c r="E219" s="1"/>
      <c r="F219" s="1"/>
      <c r="G219" s="15"/>
      <c r="H219" s="15"/>
      <c r="I219" s="1"/>
      <c r="K219" s="29"/>
      <c r="L219" s="34"/>
      <c r="M219" s="34"/>
      <c r="N219" s="28"/>
      <c r="O219" s="28"/>
      <c r="P219" s="28"/>
      <c r="Q219" s="28"/>
    </row>
    <row r="220" spans="1:17" s="8" customFormat="1" x14ac:dyDescent="0.25">
      <c r="B220" s="1"/>
      <c r="C220" s="1"/>
      <c r="D220" s="1"/>
      <c r="E220" s="1"/>
      <c r="F220" s="1"/>
      <c r="G220" s="15"/>
      <c r="H220" s="15"/>
      <c r="I220" s="1"/>
      <c r="K220" s="29"/>
      <c r="L220" s="34"/>
      <c r="M220" s="34"/>
      <c r="N220" s="28"/>
      <c r="O220" s="28"/>
      <c r="P220" s="28"/>
      <c r="Q220" s="28"/>
    </row>
    <row r="221" spans="1:17" s="8" customFormat="1" x14ac:dyDescent="0.25">
      <c r="B221" s="1"/>
      <c r="C221" s="1"/>
      <c r="D221" s="1"/>
      <c r="E221" s="1"/>
      <c r="F221" s="1"/>
      <c r="G221" s="15"/>
      <c r="H221" s="15"/>
      <c r="I221" s="1"/>
      <c r="K221" s="29"/>
      <c r="L221" s="34"/>
      <c r="M221" s="34"/>
      <c r="N221" s="28"/>
      <c r="O221" s="28"/>
      <c r="P221" s="28"/>
      <c r="Q221" s="28"/>
    </row>
    <row r="222" spans="1:17" s="8" customFormat="1" x14ac:dyDescent="0.25">
      <c r="B222" s="1"/>
      <c r="C222" s="1"/>
      <c r="D222" s="1"/>
      <c r="E222" s="1"/>
      <c r="F222" s="1"/>
      <c r="G222" s="15"/>
      <c r="H222" s="15"/>
      <c r="I222" s="1"/>
      <c r="K222" s="29"/>
      <c r="L222" s="34"/>
      <c r="M222" s="34"/>
      <c r="N222" s="28"/>
      <c r="O222" s="28"/>
      <c r="P222" s="28"/>
      <c r="Q222" s="28"/>
    </row>
    <row r="223" spans="1:17" s="8" customFormat="1" x14ac:dyDescent="0.25">
      <c r="B223" s="1"/>
      <c r="C223" s="1"/>
      <c r="D223" s="1"/>
      <c r="E223" s="1"/>
      <c r="F223" s="1"/>
      <c r="G223" s="15"/>
      <c r="H223" s="15"/>
      <c r="I223" s="1"/>
      <c r="K223" s="29"/>
      <c r="L223" s="34"/>
      <c r="M223" s="34"/>
      <c r="N223" s="28"/>
      <c r="O223" s="28"/>
      <c r="P223" s="28"/>
      <c r="Q223" s="28"/>
    </row>
    <row r="224" spans="1:17" s="8" customFormat="1" x14ac:dyDescent="0.25">
      <c r="B224" s="1"/>
      <c r="C224" s="1"/>
      <c r="D224" s="1"/>
      <c r="E224" s="1"/>
      <c r="F224" s="1"/>
      <c r="G224" s="15"/>
      <c r="H224" s="15"/>
      <c r="I224" s="1"/>
      <c r="K224" s="29"/>
      <c r="L224" s="34"/>
      <c r="M224" s="34"/>
      <c r="N224" s="28"/>
      <c r="O224" s="28"/>
      <c r="P224" s="28"/>
      <c r="Q224" s="28"/>
    </row>
    <row r="225" spans="2:17" s="8" customFormat="1" x14ac:dyDescent="0.25">
      <c r="B225" s="1"/>
      <c r="C225" s="1"/>
      <c r="D225" s="1"/>
      <c r="E225" s="1"/>
      <c r="F225" s="1"/>
      <c r="G225" s="15"/>
      <c r="H225" s="15"/>
      <c r="I225" s="1"/>
      <c r="K225" s="29"/>
      <c r="L225" s="34"/>
      <c r="M225" s="34"/>
      <c r="N225" s="28"/>
      <c r="O225" s="28"/>
      <c r="P225" s="28"/>
      <c r="Q225" s="28"/>
    </row>
    <row r="226" spans="2:17" s="8" customFormat="1" x14ac:dyDescent="0.25">
      <c r="B226" s="1"/>
      <c r="C226" s="1"/>
      <c r="D226" s="1"/>
      <c r="E226" s="1"/>
      <c r="F226" s="1"/>
      <c r="G226" s="15"/>
      <c r="H226" s="15"/>
      <c r="I226" s="1"/>
      <c r="K226" s="29"/>
      <c r="L226" s="34"/>
      <c r="M226" s="34"/>
      <c r="N226" s="28"/>
      <c r="O226" s="28"/>
      <c r="P226" s="28"/>
      <c r="Q226" s="28"/>
    </row>
    <row r="227" spans="2:17" s="8" customFormat="1" x14ac:dyDescent="0.25">
      <c r="B227" s="1"/>
      <c r="C227" s="1"/>
      <c r="D227" s="1"/>
      <c r="E227" s="1"/>
      <c r="F227" s="1"/>
      <c r="G227" s="15"/>
      <c r="H227" s="15"/>
      <c r="I227" s="1"/>
      <c r="K227" s="29"/>
      <c r="L227" s="34"/>
      <c r="M227" s="34"/>
      <c r="N227" s="28"/>
      <c r="O227" s="28"/>
      <c r="P227" s="28"/>
      <c r="Q227" s="28"/>
    </row>
    <row r="228" spans="2:17" s="8" customFormat="1" x14ac:dyDescent="0.25">
      <c r="B228" s="1"/>
      <c r="C228" s="1"/>
      <c r="D228" s="1"/>
      <c r="E228" s="1"/>
      <c r="F228" s="1"/>
      <c r="G228" s="15"/>
      <c r="H228" s="15"/>
      <c r="I228" s="1"/>
      <c r="K228" s="29"/>
      <c r="L228" s="34"/>
      <c r="M228" s="34"/>
      <c r="N228" s="28"/>
      <c r="O228" s="28"/>
      <c r="P228" s="28"/>
      <c r="Q228" s="28"/>
    </row>
    <row r="229" spans="2:17" s="8" customFormat="1" x14ac:dyDescent="0.25">
      <c r="B229" s="1"/>
      <c r="C229" s="1"/>
      <c r="D229" s="1"/>
      <c r="E229" s="1"/>
      <c r="F229" s="1"/>
      <c r="G229" s="15"/>
      <c r="H229" s="15"/>
      <c r="I229" s="1"/>
      <c r="K229" s="29"/>
      <c r="L229" s="34"/>
      <c r="M229" s="34"/>
      <c r="N229" s="28"/>
      <c r="O229" s="28"/>
      <c r="P229" s="28"/>
      <c r="Q229" s="28"/>
    </row>
    <row r="230" spans="2:17" s="8" customFormat="1" x14ac:dyDescent="0.25">
      <c r="B230" s="1"/>
      <c r="C230" s="1"/>
      <c r="D230" s="1"/>
      <c r="E230" s="1"/>
      <c r="F230" s="1"/>
      <c r="G230" s="15"/>
      <c r="H230" s="15"/>
      <c r="I230" s="1"/>
      <c r="K230" s="29"/>
      <c r="L230" s="34"/>
      <c r="M230" s="34"/>
      <c r="N230" s="28"/>
      <c r="O230" s="28"/>
      <c r="P230" s="28"/>
      <c r="Q230" s="28"/>
    </row>
    <row r="231" spans="2:17" s="8" customFormat="1" x14ac:dyDescent="0.25">
      <c r="B231" s="1"/>
      <c r="C231" s="1"/>
      <c r="D231" s="1"/>
      <c r="E231" s="1"/>
      <c r="F231" s="1"/>
      <c r="G231" s="15"/>
      <c r="H231" s="15"/>
      <c r="I231" s="1"/>
      <c r="K231" s="29"/>
      <c r="L231" s="34"/>
      <c r="M231" s="34"/>
      <c r="N231" s="28"/>
      <c r="O231" s="28"/>
      <c r="P231" s="28"/>
      <c r="Q231" s="28"/>
    </row>
    <row r="232" spans="2:17" s="8" customFormat="1" x14ac:dyDescent="0.25">
      <c r="B232" s="1"/>
      <c r="C232" s="1"/>
      <c r="D232" s="1"/>
      <c r="E232" s="1"/>
      <c r="F232" s="1"/>
      <c r="G232" s="15"/>
      <c r="H232" s="15"/>
      <c r="I232" s="1"/>
      <c r="K232" s="29"/>
      <c r="L232" s="34"/>
      <c r="M232" s="34"/>
      <c r="N232" s="28"/>
      <c r="O232" s="28"/>
      <c r="P232" s="28"/>
      <c r="Q232" s="28"/>
    </row>
    <row r="233" spans="2:17" s="8" customFormat="1" x14ac:dyDescent="0.25">
      <c r="B233" s="1"/>
      <c r="C233" s="1"/>
      <c r="D233" s="1"/>
      <c r="E233" s="1"/>
      <c r="F233" s="1"/>
      <c r="G233" s="15"/>
      <c r="H233" s="15"/>
      <c r="I233" s="1"/>
      <c r="K233" s="29"/>
      <c r="L233" s="34"/>
      <c r="M233" s="34"/>
      <c r="N233" s="28"/>
      <c r="O233" s="28"/>
      <c r="P233" s="28"/>
      <c r="Q233" s="28"/>
    </row>
    <row r="234" spans="2:17" s="8" customFormat="1" x14ac:dyDescent="0.25">
      <c r="B234" s="1"/>
      <c r="C234" s="1"/>
      <c r="D234" s="1"/>
      <c r="E234" s="1"/>
      <c r="F234" s="1"/>
      <c r="G234" s="15"/>
      <c r="H234" s="15"/>
      <c r="I234" s="1"/>
      <c r="K234" s="29"/>
      <c r="L234" s="34"/>
      <c r="M234" s="34"/>
      <c r="N234" s="28"/>
      <c r="O234" s="28"/>
      <c r="P234" s="28"/>
      <c r="Q234" s="28"/>
    </row>
    <row r="235" spans="2:17" s="8" customFormat="1" x14ac:dyDescent="0.25">
      <c r="B235" s="1"/>
      <c r="C235" s="1"/>
      <c r="D235" s="1"/>
      <c r="E235" s="1"/>
      <c r="F235" s="1"/>
      <c r="G235" s="15"/>
      <c r="H235" s="15"/>
      <c r="I235" s="1"/>
      <c r="K235" s="29"/>
      <c r="L235" s="34"/>
      <c r="M235" s="34"/>
      <c r="N235" s="28"/>
      <c r="O235" s="28"/>
      <c r="P235" s="28"/>
      <c r="Q235" s="28"/>
    </row>
    <row r="236" spans="2:17" s="8" customFormat="1" x14ac:dyDescent="0.25">
      <c r="B236" s="1"/>
      <c r="C236" s="1"/>
      <c r="D236" s="1"/>
      <c r="E236" s="1"/>
      <c r="F236" s="1"/>
      <c r="G236" s="15"/>
      <c r="H236" s="15"/>
      <c r="I236" s="1"/>
      <c r="K236" s="29"/>
      <c r="L236" s="34"/>
      <c r="M236" s="34"/>
      <c r="N236" s="28"/>
      <c r="O236" s="28"/>
      <c r="P236" s="28"/>
      <c r="Q236" s="28"/>
    </row>
    <row r="237" spans="2:17" s="8" customFormat="1" x14ac:dyDescent="0.25">
      <c r="B237" s="1"/>
      <c r="C237" s="1"/>
      <c r="D237" s="1"/>
      <c r="E237" s="1"/>
      <c r="F237" s="1"/>
      <c r="G237" s="15"/>
      <c r="H237" s="15"/>
      <c r="I237" s="1"/>
      <c r="K237" s="29"/>
      <c r="L237" s="34"/>
      <c r="M237" s="34"/>
      <c r="N237" s="28"/>
      <c r="O237" s="28"/>
      <c r="P237" s="28"/>
      <c r="Q237" s="28"/>
    </row>
    <row r="238" spans="2:17" s="8" customFormat="1" x14ac:dyDescent="0.25">
      <c r="B238" s="1"/>
      <c r="C238" s="1"/>
      <c r="D238" s="1"/>
      <c r="E238" s="1"/>
      <c r="F238" s="1"/>
      <c r="G238" s="15"/>
      <c r="H238" s="15"/>
      <c r="I238" s="1"/>
      <c r="K238" s="29"/>
      <c r="L238" s="34"/>
      <c r="M238" s="34"/>
      <c r="N238" s="28"/>
      <c r="O238" s="28"/>
      <c r="P238" s="28"/>
      <c r="Q238" s="28"/>
    </row>
    <row r="239" spans="2:17" s="8" customFormat="1" x14ac:dyDescent="0.25">
      <c r="B239" s="1"/>
      <c r="C239" s="1"/>
      <c r="D239" s="1"/>
      <c r="E239" s="1"/>
      <c r="F239" s="1"/>
      <c r="G239" s="15"/>
      <c r="H239" s="15"/>
      <c r="I239" s="1"/>
      <c r="K239" s="29"/>
      <c r="L239" s="34"/>
      <c r="M239" s="34"/>
      <c r="N239" s="28"/>
      <c r="O239" s="28"/>
      <c r="P239" s="28"/>
      <c r="Q239" s="28"/>
    </row>
    <row r="240" spans="2:17" s="8" customFormat="1" x14ac:dyDescent="0.25">
      <c r="B240" s="1"/>
      <c r="C240" s="1"/>
      <c r="D240" s="1"/>
      <c r="E240" s="1"/>
      <c r="F240" s="1"/>
      <c r="G240" s="15"/>
      <c r="H240" s="15"/>
      <c r="I240" s="1"/>
      <c r="K240" s="29"/>
      <c r="L240" s="34"/>
      <c r="M240" s="34"/>
      <c r="N240" s="28"/>
      <c r="O240" s="28"/>
      <c r="P240" s="28"/>
      <c r="Q240" s="28"/>
    </row>
    <row r="241" spans="2:17" s="8" customFormat="1" x14ac:dyDescent="0.25">
      <c r="B241" s="1"/>
      <c r="C241" s="1"/>
      <c r="D241" s="1"/>
      <c r="E241" s="1"/>
      <c r="F241" s="1"/>
      <c r="G241" s="15"/>
      <c r="H241" s="15"/>
      <c r="I241" s="1"/>
      <c r="K241" s="29"/>
      <c r="L241" s="34"/>
      <c r="M241" s="34"/>
      <c r="N241" s="28"/>
      <c r="O241" s="28"/>
      <c r="P241" s="28"/>
      <c r="Q241" s="28"/>
    </row>
    <row r="242" spans="2:17" s="8" customFormat="1" x14ac:dyDescent="0.25">
      <c r="B242" s="1"/>
      <c r="C242" s="1"/>
      <c r="D242" s="1"/>
      <c r="E242" s="1"/>
      <c r="F242" s="1"/>
      <c r="G242" s="15"/>
      <c r="H242" s="15"/>
      <c r="I242" s="1"/>
      <c r="K242" s="29"/>
      <c r="L242" s="34"/>
      <c r="M242" s="34"/>
      <c r="N242" s="28"/>
      <c r="O242" s="28"/>
      <c r="P242" s="28"/>
      <c r="Q242" s="28"/>
    </row>
    <row r="243" spans="2:17" s="8" customFormat="1" x14ac:dyDescent="0.25">
      <c r="B243" s="1"/>
      <c r="C243" s="1"/>
      <c r="D243" s="1"/>
      <c r="E243" s="1"/>
      <c r="F243" s="1"/>
      <c r="G243" s="15"/>
      <c r="H243" s="15"/>
      <c r="I243" s="1"/>
      <c r="K243" s="29"/>
      <c r="L243" s="34"/>
      <c r="M243" s="34"/>
      <c r="N243" s="28"/>
      <c r="O243" s="28"/>
      <c r="P243" s="28"/>
      <c r="Q243" s="28"/>
    </row>
    <row r="244" spans="2:17" s="8" customFormat="1" x14ac:dyDescent="0.25">
      <c r="B244" s="1"/>
      <c r="C244" s="1"/>
      <c r="D244" s="1"/>
      <c r="E244" s="1"/>
      <c r="F244" s="1"/>
      <c r="G244" s="15"/>
      <c r="H244" s="15"/>
      <c r="I244" s="1"/>
      <c r="K244" s="29"/>
      <c r="L244" s="34"/>
      <c r="M244" s="34"/>
      <c r="N244" s="28"/>
      <c r="O244" s="28"/>
      <c r="P244" s="28"/>
      <c r="Q244" s="28"/>
    </row>
    <row r="245" spans="2:17" s="8" customFormat="1" x14ac:dyDescent="0.25">
      <c r="B245" s="1"/>
      <c r="C245" s="1"/>
      <c r="D245" s="1"/>
      <c r="E245" s="1"/>
      <c r="F245" s="1"/>
      <c r="G245" s="15"/>
      <c r="H245" s="15"/>
      <c r="I245" s="1"/>
      <c r="K245" s="29"/>
      <c r="L245" s="34"/>
      <c r="M245" s="34"/>
      <c r="N245" s="28"/>
      <c r="O245" s="28"/>
      <c r="P245" s="28"/>
      <c r="Q245" s="28"/>
    </row>
    <row r="246" spans="2:17" s="8" customFormat="1" x14ac:dyDescent="0.25">
      <c r="B246" s="1"/>
      <c r="C246" s="1"/>
      <c r="D246" s="1"/>
      <c r="E246" s="1"/>
      <c r="F246" s="1"/>
      <c r="G246" s="15"/>
      <c r="H246" s="15"/>
      <c r="I246" s="1"/>
      <c r="K246" s="29"/>
      <c r="L246" s="34"/>
      <c r="M246" s="34"/>
      <c r="N246" s="28"/>
      <c r="O246" s="28"/>
      <c r="P246" s="28"/>
      <c r="Q246" s="28"/>
    </row>
    <row r="247" spans="2:17" s="8" customFormat="1" x14ac:dyDescent="0.25">
      <c r="B247" s="1"/>
      <c r="C247" s="1"/>
      <c r="D247" s="1"/>
      <c r="E247" s="1"/>
      <c r="F247" s="1"/>
      <c r="G247" s="15"/>
      <c r="H247" s="15"/>
      <c r="I247" s="1"/>
      <c r="K247" s="29"/>
      <c r="L247" s="34"/>
      <c r="M247" s="34"/>
      <c r="N247" s="28"/>
      <c r="O247" s="28"/>
      <c r="P247" s="28"/>
      <c r="Q247" s="28"/>
    </row>
    <row r="248" spans="2:17" s="8" customFormat="1" x14ac:dyDescent="0.25">
      <c r="B248" s="1"/>
      <c r="C248" s="1"/>
      <c r="D248" s="1"/>
      <c r="E248" s="1"/>
      <c r="F248" s="1"/>
      <c r="G248" s="15"/>
      <c r="H248" s="15"/>
      <c r="I248" s="1"/>
      <c r="K248" s="29"/>
      <c r="L248" s="34"/>
      <c r="M248" s="34"/>
      <c r="N248" s="28"/>
      <c r="O248" s="28"/>
      <c r="P248" s="28"/>
      <c r="Q248" s="28"/>
    </row>
    <row r="249" spans="2:17" s="8" customFormat="1" x14ac:dyDescent="0.25">
      <c r="B249" s="1"/>
      <c r="C249" s="1"/>
      <c r="D249" s="1"/>
      <c r="E249" s="1"/>
      <c r="F249" s="1"/>
      <c r="G249" s="15"/>
      <c r="H249" s="15"/>
      <c r="I249" s="1"/>
      <c r="K249" s="29"/>
      <c r="L249" s="34"/>
      <c r="M249" s="34"/>
      <c r="N249" s="28"/>
      <c r="O249" s="28"/>
      <c r="P249" s="28"/>
      <c r="Q249" s="28"/>
    </row>
    <row r="250" spans="2:17" s="8" customFormat="1" x14ac:dyDescent="0.25">
      <c r="B250" s="1"/>
      <c r="C250" s="1"/>
      <c r="D250" s="1"/>
      <c r="E250" s="1"/>
      <c r="F250" s="1"/>
      <c r="G250" s="15"/>
      <c r="H250" s="15"/>
      <c r="I250" s="1"/>
      <c r="K250" s="29"/>
      <c r="L250" s="34"/>
      <c r="M250" s="34"/>
      <c r="N250" s="28"/>
      <c r="O250" s="28"/>
      <c r="P250" s="28"/>
      <c r="Q250" s="28"/>
    </row>
    <row r="251" spans="2:17" s="8" customFormat="1" x14ac:dyDescent="0.25">
      <c r="B251" s="1"/>
      <c r="C251" s="1"/>
      <c r="D251" s="1"/>
      <c r="E251" s="1"/>
      <c r="F251" s="1"/>
      <c r="G251" s="15"/>
      <c r="H251" s="15"/>
      <c r="I251" s="1"/>
      <c r="K251" s="29"/>
      <c r="L251" s="34"/>
      <c r="M251" s="34"/>
      <c r="N251" s="28"/>
      <c r="O251" s="28"/>
      <c r="P251" s="28"/>
      <c r="Q251" s="28"/>
    </row>
    <row r="252" spans="2:17" s="8" customFormat="1" x14ac:dyDescent="0.25">
      <c r="B252" s="1"/>
      <c r="C252" s="1"/>
      <c r="D252" s="1"/>
      <c r="E252" s="1"/>
      <c r="F252" s="1"/>
      <c r="G252" s="15"/>
      <c r="H252" s="15"/>
      <c r="I252" s="1"/>
      <c r="K252" s="29"/>
      <c r="L252" s="34"/>
      <c r="M252" s="34"/>
      <c r="N252" s="28"/>
      <c r="O252" s="28"/>
      <c r="P252" s="28"/>
      <c r="Q252" s="28"/>
    </row>
    <row r="253" spans="2:17" s="8" customFormat="1" x14ac:dyDescent="0.25">
      <c r="B253" s="1"/>
      <c r="C253" s="1"/>
      <c r="D253" s="1"/>
      <c r="E253" s="1"/>
      <c r="F253" s="1"/>
      <c r="G253" s="15"/>
      <c r="H253" s="15"/>
      <c r="I253" s="1"/>
      <c r="K253" s="29"/>
      <c r="L253" s="34"/>
      <c r="M253" s="34"/>
      <c r="N253" s="28"/>
      <c r="O253" s="28"/>
      <c r="P253" s="28"/>
      <c r="Q253" s="28"/>
    </row>
    <row r="254" spans="2:17" s="8" customFormat="1" x14ac:dyDescent="0.25">
      <c r="B254" s="1"/>
      <c r="C254" s="1"/>
      <c r="D254" s="1"/>
      <c r="E254" s="1"/>
      <c r="F254" s="1"/>
      <c r="G254" s="15"/>
      <c r="H254" s="15"/>
      <c r="I254" s="1"/>
      <c r="K254" s="29"/>
      <c r="L254" s="34"/>
      <c r="M254" s="34"/>
      <c r="N254" s="28"/>
      <c r="O254" s="28"/>
      <c r="P254" s="28"/>
      <c r="Q254" s="28"/>
    </row>
    <row r="255" spans="2:17" s="8" customFormat="1" x14ac:dyDescent="0.25">
      <c r="B255" s="1"/>
      <c r="C255" s="1"/>
      <c r="D255" s="1"/>
      <c r="E255" s="1"/>
      <c r="F255" s="1"/>
      <c r="G255" s="15"/>
      <c r="H255" s="15"/>
      <c r="I255" s="1"/>
      <c r="K255" s="29"/>
      <c r="L255" s="34"/>
      <c r="M255" s="34"/>
      <c r="N255" s="28"/>
      <c r="O255" s="28"/>
      <c r="P255" s="28"/>
      <c r="Q255" s="28"/>
    </row>
    <row r="256" spans="2:17" s="8" customFormat="1" x14ac:dyDescent="0.25">
      <c r="B256" s="1"/>
      <c r="C256" s="1"/>
      <c r="D256" s="1"/>
      <c r="E256" s="1"/>
      <c r="F256" s="1"/>
      <c r="G256" s="15"/>
      <c r="H256" s="15"/>
      <c r="I256" s="1"/>
      <c r="K256" s="29"/>
      <c r="L256" s="34"/>
      <c r="M256" s="34"/>
      <c r="N256" s="28"/>
      <c r="O256" s="28"/>
      <c r="P256" s="28"/>
      <c r="Q256" s="28"/>
    </row>
    <row r="257" spans="2:17" s="8" customFormat="1" x14ac:dyDescent="0.25">
      <c r="B257" s="1"/>
      <c r="C257" s="1"/>
      <c r="D257" s="1"/>
      <c r="E257" s="1"/>
      <c r="F257" s="1"/>
      <c r="G257" s="15"/>
      <c r="H257" s="15"/>
      <c r="I257" s="1"/>
      <c r="K257" s="29"/>
      <c r="L257" s="34"/>
      <c r="M257" s="34"/>
      <c r="N257" s="28"/>
      <c r="O257" s="28"/>
      <c r="P257" s="28"/>
      <c r="Q257" s="28"/>
    </row>
    <row r="258" spans="2:17" s="8" customFormat="1" x14ac:dyDescent="0.25">
      <c r="B258" s="1"/>
      <c r="C258" s="1"/>
      <c r="D258" s="1"/>
      <c r="E258" s="1"/>
      <c r="F258" s="1"/>
      <c r="G258" s="15"/>
      <c r="H258" s="15"/>
      <c r="I258" s="1"/>
      <c r="K258" s="29"/>
      <c r="L258" s="34"/>
      <c r="M258" s="34"/>
      <c r="N258" s="28"/>
      <c r="O258" s="28"/>
      <c r="P258" s="28"/>
      <c r="Q258" s="28"/>
    </row>
    <row r="259" spans="2:17" s="8" customFormat="1" x14ac:dyDescent="0.25">
      <c r="B259" s="1"/>
      <c r="C259" s="1"/>
      <c r="D259" s="1"/>
      <c r="E259" s="1"/>
      <c r="F259" s="1"/>
      <c r="G259" s="15"/>
      <c r="H259" s="15"/>
      <c r="I259" s="1"/>
      <c r="K259" s="29"/>
      <c r="L259" s="34"/>
      <c r="M259" s="34"/>
      <c r="N259" s="28"/>
      <c r="O259" s="28"/>
      <c r="P259" s="28"/>
      <c r="Q259" s="28"/>
    </row>
    <row r="260" spans="2:17" s="8" customFormat="1" x14ac:dyDescent="0.25">
      <c r="B260" s="1"/>
      <c r="C260" s="1"/>
      <c r="D260" s="1"/>
      <c r="E260" s="1"/>
      <c r="F260" s="1"/>
      <c r="G260" s="15"/>
      <c r="H260" s="15"/>
      <c r="I260" s="1"/>
      <c r="K260" s="29"/>
      <c r="L260" s="34"/>
      <c r="M260" s="34"/>
      <c r="N260" s="28"/>
      <c r="O260" s="28"/>
      <c r="P260" s="28"/>
      <c r="Q260" s="28"/>
    </row>
    <row r="261" spans="2:17" s="8" customFormat="1" x14ac:dyDescent="0.25">
      <c r="B261" s="1"/>
      <c r="C261" s="1"/>
      <c r="D261" s="1"/>
      <c r="E261" s="1"/>
      <c r="F261" s="1"/>
      <c r="G261" s="15"/>
      <c r="H261" s="15"/>
      <c r="I261" s="1"/>
      <c r="K261" s="29"/>
      <c r="L261" s="34"/>
      <c r="M261" s="34"/>
      <c r="N261" s="28"/>
      <c r="O261" s="28"/>
      <c r="P261" s="28"/>
      <c r="Q261" s="28"/>
    </row>
    <row r="262" spans="2:17" s="8" customFormat="1" x14ac:dyDescent="0.25">
      <c r="B262" s="1"/>
      <c r="C262" s="1"/>
      <c r="D262" s="1"/>
      <c r="E262" s="1"/>
      <c r="F262" s="1"/>
      <c r="G262" s="15"/>
      <c r="H262" s="15"/>
      <c r="I262" s="1"/>
      <c r="K262" s="29"/>
      <c r="L262" s="34"/>
      <c r="M262" s="34"/>
      <c r="N262" s="28"/>
      <c r="O262" s="28"/>
      <c r="P262" s="28"/>
      <c r="Q262" s="28"/>
    </row>
    <row r="263" spans="2:17" s="8" customFormat="1" x14ac:dyDescent="0.25">
      <c r="B263" s="1"/>
      <c r="C263" s="1"/>
      <c r="D263" s="1"/>
      <c r="E263" s="1"/>
      <c r="F263" s="1"/>
      <c r="G263" s="15"/>
      <c r="H263" s="15"/>
      <c r="I263" s="1"/>
      <c r="K263" s="29"/>
      <c r="L263" s="34"/>
      <c r="M263" s="34"/>
      <c r="N263" s="28"/>
      <c r="O263" s="28"/>
      <c r="P263" s="28"/>
      <c r="Q263" s="28"/>
    </row>
    <row r="264" spans="2:17" s="8" customFormat="1" x14ac:dyDescent="0.25">
      <c r="B264" s="1"/>
      <c r="C264" s="1"/>
      <c r="D264" s="1"/>
      <c r="E264" s="1"/>
      <c r="F264" s="1"/>
      <c r="G264" s="15"/>
      <c r="H264" s="15"/>
      <c r="I264" s="1"/>
      <c r="K264" s="29"/>
      <c r="L264" s="34"/>
      <c r="M264" s="34"/>
      <c r="N264" s="28"/>
      <c r="O264" s="28"/>
      <c r="P264" s="28"/>
      <c r="Q264" s="28"/>
    </row>
    <row r="265" spans="2:17" s="8" customFormat="1" x14ac:dyDescent="0.25">
      <c r="B265" s="1"/>
      <c r="C265" s="1"/>
      <c r="D265" s="1"/>
      <c r="E265" s="1"/>
      <c r="F265" s="1"/>
      <c r="G265" s="15"/>
      <c r="H265" s="15"/>
      <c r="I265" s="1"/>
      <c r="K265" s="29"/>
      <c r="L265" s="34"/>
      <c r="M265" s="34"/>
      <c r="N265" s="28"/>
      <c r="O265" s="28"/>
      <c r="P265" s="28"/>
      <c r="Q265" s="28"/>
    </row>
    <row r="266" spans="2:17" s="8" customFormat="1" x14ac:dyDescent="0.25">
      <c r="B266" s="1"/>
      <c r="C266" s="1"/>
      <c r="D266" s="1"/>
      <c r="E266" s="1"/>
      <c r="F266" s="1"/>
      <c r="G266" s="15"/>
      <c r="H266" s="15"/>
      <c r="I266" s="1"/>
      <c r="K266" s="29"/>
      <c r="L266" s="34"/>
      <c r="M266" s="34"/>
      <c r="N266" s="28"/>
      <c r="O266" s="28"/>
      <c r="P266" s="28"/>
      <c r="Q266" s="28"/>
    </row>
    <row r="267" spans="2:17" s="8" customFormat="1" x14ac:dyDescent="0.25">
      <c r="B267" s="1"/>
      <c r="C267" s="1"/>
      <c r="D267" s="1"/>
      <c r="E267" s="1"/>
      <c r="F267" s="1"/>
      <c r="G267" s="15"/>
      <c r="H267" s="15"/>
      <c r="I267" s="1"/>
      <c r="K267" s="29"/>
      <c r="L267" s="34"/>
      <c r="M267" s="34"/>
      <c r="N267" s="28"/>
      <c r="O267" s="28"/>
      <c r="P267" s="28"/>
      <c r="Q267" s="28"/>
    </row>
    <row r="268" spans="2:17" s="8" customFormat="1" x14ac:dyDescent="0.25">
      <c r="B268" s="1"/>
      <c r="C268" s="1"/>
      <c r="D268" s="1"/>
      <c r="E268" s="1"/>
      <c r="F268" s="1"/>
      <c r="G268" s="15"/>
      <c r="H268" s="15"/>
      <c r="I268" s="1"/>
      <c r="K268" s="29"/>
      <c r="L268" s="34"/>
      <c r="M268" s="34"/>
      <c r="N268" s="28"/>
      <c r="O268" s="28"/>
      <c r="P268" s="28"/>
      <c r="Q268" s="28"/>
    </row>
    <row r="269" spans="2:17" s="8" customFormat="1" x14ac:dyDescent="0.25">
      <c r="B269" s="1"/>
      <c r="C269" s="1"/>
      <c r="D269" s="1"/>
      <c r="E269" s="1"/>
      <c r="F269" s="1"/>
      <c r="G269" s="15"/>
      <c r="H269" s="15"/>
      <c r="I269" s="1"/>
      <c r="K269" s="29"/>
      <c r="L269" s="34"/>
      <c r="M269" s="34"/>
      <c r="N269" s="28"/>
      <c r="O269" s="28"/>
      <c r="P269" s="28"/>
      <c r="Q269" s="28"/>
    </row>
    <row r="270" spans="2:17" s="8" customFormat="1" x14ac:dyDescent="0.25">
      <c r="B270" s="1"/>
      <c r="C270" s="1"/>
      <c r="D270" s="1"/>
      <c r="E270" s="1"/>
      <c r="F270" s="1"/>
      <c r="G270" s="15"/>
      <c r="H270" s="15"/>
      <c r="I270" s="1"/>
      <c r="K270" s="29"/>
      <c r="L270" s="34"/>
      <c r="M270" s="34"/>
      <c r="N270" s="28"/>
      <c r="O270" s="28"/>
      <c r="P270" s="28"/>
      <c r="Q270" s="28"/>
    </row>
    <row r="271" spans="2:17" s="8" customFormat="1" x14ac:dyDescent="0.25">
      <c r="B271" s="1"/>
      <c r="C271" s="1"/>
      <c r="D271" s="1"/>
      <c r="E271" s="1"/>
      <c r="F271" s="1"/>
      <c r="G271" s="15"/>
      <c r="H271" s="15"/>
      <c r="I271" s="1"/>
      <c r="K271" s="29"/>
      <c r="L271" s="34"/>
      <c r="M271" s="34"/>
      <c r="N271" s="28"/>
      <c r="O271" s="28"/>
      <c r="P271" s="28"/>
      <c r="Q271" s="28"/>
    </row>
    <row r="272" spans="2:17" s="8" customFormat="1" x14ac:dyDescent="0.25">
      <c r="B272" s="1"/>
      <c r="C272" s="1"/>
      <c r="D272" s="1"/>
      <c r="E272" s="1"/>
      <c r="F272" s="1"/>
      <c r="G272" s="15"/>
      <c r="H272" s="15"/>
      <c r="I272" s="1"/>
      <c r="K272" s="29"/>
      <c r="L272" s="34"/>
      <c r="M272" s="34"/>
      <c r="N272" s="28"/>
      <c r="O272" s="28"/>
      <c r="P272" s="28"/>
      <c r="Q272" s="28"/>
    </row>
    <row r="273" spans="2:17" s="8" customFormat="1" x14ac:dyDescent="0.25">
      <c r="B273" s="1"/>
      <c r="C273" s="1"/>
      <c r="D273" s="1"/>
      <c r="E273" s="1"/>
      <c r="F273" s="1"/>
      <c r="G273" s="15"/>
      <c r="H273" s="15"/>
      <c r="I273" s="1"/>
      <c r="K273" s="29"/>
      <c r="L273" s="34"/>
      <c r="M273" s="34"/>
      <c r="N273" s="28"/>
      <c r="O273" s="28"/>
      <c r="P273" s="28"/>
      <c r="Q273" s="28"/>
    </row>
    <row r="274" spans="2:17" s="8" customFormat="1" x14ac:dyDescent="0.25">
      <c r="B274" s="1"/>
      <c r="C274" s="1"/>
      <c r="D274" s="1"/>
      <c r="E274" s="1"/>
      <c r="F274" s="1"/>
      <c r="G274" s="15"/>
      <c r="H274" s="15"/>
      <c r="I274" s="1"/>
      <c r="K274" s="29"/>
      <c r="L274" s="34"/>
      <c r="M274" s="34"/>
      <c r="N274" s="28"/>
      <c r="O274" s="28"/>
      <c r="P274" s="28"/>
      <c r="Q274" s="28"/>
    </row>
    <row r="275" spans="2:17" s="8" customFormat="1" x14ac:dyDescent="0.25">
      <c r="B275" s="1"/>
      <c r="C275" s="1"/>
      <c r="D275" s="1"/>
      <c r="E275" s="1"/>
      <c r="F275" s="1"/>
      <c r="G275" s="15"/>
      <c r="H275" s="15"/>
      <c r="I275" s="1"/>
      <c r="K275" s="29"/>
      <c r="L275" s="34"/>
      <c r="M275" s="34"/>
      <c r="N275" s="28"/>
      <c r="O275" s="28"/>
      <c r="P275" s="28"/>
      <c r="Q275" s="28"/>
    </row>
    <row r="276" spans="2:17" s="8" customFormat="1" x14ac:dyDescent="0.25">
      <c r="B276" s="1"/>
      <c r="C276" s="1"/>
      <c r="D276" s="1"/>
      <c r="E276" s="1"/>
      <c r="F276" s="1"/>
      <c r="G276" s="15"/>
      <c r="H276" s="15"/>
      <c r="I276" s="1"/>
      <c r="K276" s="29"/>
      <c r="L276" s="34"/>
      <c r="M276" s="34"/>
      <c r="N276" s="28"/>
      <c r="O276" s="28"/>
      <c r="P276" s="28"/>
      <c r="Q276" s="28"/>
    </row>
    <row r="277" spans="2:17" s="8" customFormat="1" x14ac:dyDescent="0.25">
      <c r="B277" s="1"/>
      <c r="C277" s="1"/>
      <c r="D277" s="1"/>
      <c r="E277" s="1"/>
      <c r="F277" s="1"/>
      <c r="G277" s="15"/>
      <c r="H277" s="15"/>
      <c r="I277" s="1"/>
      <c r="K277" s="29"/>
      <c r="L277" s="34"/>
      <c r="M277" s="34"/>
      <c r="N277" s="28"/>
      <c r="O277" s="28"/>
      <c r="P277" s="28"/>
      <c r="Q277" s="28"/>
    </row>
    <row r="278" spans="2:17" s="8" customFormat="1" x14ac:dyDescent="0.25">
      <c r="B278" s="1"/>
      <c r="C278" s="1"/>
      <c r="D278" s="1"/>
      <c r="E278" s="1"/>
      <c r="F278" s="1"/>
      <c r="G278" s="15"/>
      <c r="H278" s="15"/>
      <c r="I278" s="1"/>
      <c r="K278" s="29"/>
      <c r="L278" s="34"/>
      <c r="M278" s="34"/>
      <c r="N278" s="28"/>
      <c r="O278" s="28"/>
      <c r="P278" s="28"/>
      <c r="Q278" s="28"/>
    </row>
    <row r="279" spans="2:17" s="8" customFormat="1" x14ac:dyDescent="0.25">
      <c r="B279" s="1"/>
      <c r="C279" s="1"/>
      <c r="D279" s="1"/>
      <c r="E279" s="1"/>
      <c r="F279" s="1"/>
      <c r="G279" s="15"/>
      <c r="H279" s="15"/>
      <c r="I279" s="1"/>
      <c r="K279" s="29"/>
      <c r="L279" s="34"/>
      <c r="M279" s="34"/>
      <c r="N279" s="28"/>
      <c r="O279" s="28"/>
      <c r="P279" s="28"/>
      <c r="Q279" s="28"/>
    </row>
    <row r="280" spans="2:17" s="8" customFormat="1" x14ac:dyDescent="0.25">
      <c r="B280" s="1"/>
      <c r="C280" s="1"/>
      <c r="D280" s="1"/>
      <c r="E280" s="1"/>
      <c r="F280" s="1"/>
      <c r="G280" s="15"/>
      <c r="H280" s="15"/>
      <c r="I280" s="1"/>
      <c r="K280" s="29"/>
      <c r="L280" s="34"/>
      <c r="M280" s="34"/>
      <c r="N280" s="28"/>
      <c r="O280" s="28"/>
      <c r="P280" s="28"/>
      <c r="Q280" s="28"/>
    </row>
    <row r="281" spans="2:17" s="8" customFormat="1" x14ac:dyDescent="0.25">
      <c r="B281" s="1"/>
      <c r="C281" s="1"/>
      <c r="D281" s="1"/>
      <c r="E281" s="1"/>
      <c r="F281" s="1"/>
      <c r="G281" s="15"/>
      <c r="H281" s="15"/>
      <c r="I281" s="1"/>
      <c r="K281" s="29"/>
      <c r="L281" s="34"/>
      <c r="M281" s="34"/>
      <c r="N281" s="28"/>
      <c r="O281" s="28"/>
      <c r="P281" s="28"/>
      <c r="Q281" s="28"/>
    </row>
    <row r="282" spans="2:17" s="8" customFormat="1" x14ac:dyDescent="0.25">
      <c r="B282" s="1"/>
      <c r="C282" s="1"/>
      <c r="D282" s="1"/>
      <c r="E282" s="1"/>
      <c r="F282" s="1"/>
      <c r="G282" s="15"/>
      <c r="H282" s="15"/>
      <c r="I282" s="1"/>
      <c r="K282" s="29"/>
      <c r="L282" s="34"/>
      <c r="M282" s="34"/>
      <c r="N282" s="28"/>
      <c r="O282" s="28"/>
      <c r="P282" s="28"/>
      <c r="Q282" s="28"/>
    </row>
    <row r="283" spans="2:17" s="8" customFormat="1" x14ac:dyDescent="0.25">
      <c r="B283" s="1"/>
      <c r="C283" s="1"/>
      <c r="D283" s="1"/>
      <c r="E283" s="1"/>
      <c r="F283" s="1"/>
      <c r="G283" s="15"/>
      <c r="H283" s="15"/>
      <c r="I283" s="1"/>
      <c r="K283" s="29"/>
      <c r="L283" s="34"/>
      <c r="M283" s="34"/>
      <c r="N283" s="28"/>
      <c r="O283" s="28"/>
      <c r="P283" s="28"/>
      <c r="Q283" s="28"/>
    </row>
    <row r="284" spans="2:17" s="8" customFormat="1" x14ac:dyDescent="0.25">
      <c r="B284" s="1"/>
      <c r="C284" s="1"/>
      <c r="D284" s="1"/>
      <c r="E284" s="1"/>
      <c r="F284" s="1"/>
      <c r="G284" s="15"/>
      <c r="H284" s="15"/>
      <c r="I284" s="1"/>
      <c r="K284" s="29"/>
      <c r="L284" s="34"/>
      <c r="M284" s="34"/>
      <c r="N284" s="28"/>
      <c r="O284" s="28"/>
      <c r="P284" s="28"/>
      <c r="Q284" s="28"/>
    </row>
    <row r="285" spans="2:17" s="8" customFormat="1" x14ac:dyDescent="0.25">
      <c r="B285" s="1"/>
      <c r="C285" s="1"/>
      <c r="D285" s="1"/>
      <c r="E285" s="1"/>
      <c r="F285" s="1"/>
      <c r="G285" s="15"/>
      <c r="H285" s="15"/>
      <c r="I285" s="1"/>
      <c r="K285" s="29"/>
      <c r="L285" s="34"/>
      <c r="M285" s="34"/>
      <c r="N285" s="28"/>
      <c r="O285" s="28"/>
      <c r="P285" s="28"/>
      <c r="Q285" s="28"/>
    </row>
    <row r="286" spans="2:17" s="8" customFormat="1" x14ac:dyDescent="0.25">
      <c r="B286" s="1"/>
      <c r="C286" s="1"/>
      <c r="D286" s="1"/>
      <c r="E286" s="1"/>
      <c r="F286" s="1"/>
      <c r="G286" s="15"/>
      <c r="H286" s="15"/>
      <c r="I286" s="1"/>
      <c r="K286" s="29"/>
      <c r="L286" s="34"/>
      <c r="M286" s="34"/>
      <c r="N286" s="28"/>
      <c r="O286" s="28"/>
      <c r="P286" s="28"/>
      <c r="Q286" s="28"/>
    </row>
    <row r="287" spans="2:17" s="8" customFormat="1" x14ac:dyDescent="0.25">
      <c r="B287" s="1"/>
      <c r="C287" s="1"/>
      <c r="D287" s="1"/>
      <c r="E287" s="1"/>
      <c r="F287" s="1"/>
      <c r="G287" s="15"/>
      <c r="H287" s="15"/>
      <c r="I287" s="1"/>
      <c r="K287" s="29"/>
      <c r="L287" s="34"/>
      <c r="M287" s="34"/>
      <c r="N287" s="28"/>
      <c r="O287" s="28"/>
      <c r="P287" s="28"/>
      <c r="Q287" s="28"/>
    </row>
    <row r="288" spans="2:17" s="8" customFormat="1" x14ac:dyDescent="0.25">
      <c r="B288" s="1"/>
      <c r="C288" s="1"/>
      <c r="D288" s="1"/>
      <c r="E288" s="1"/>
      <c r="F288" s="1"/>
      <c r="G288" s="15"/>
      <c r="H288" s="15"/>
      <c r="I288" s="1"/>
      <c r="K288" s="29"/>
      <c r="L288" s="34"/>
      <c r="M288" s="34"/>
      <c r="N288" s="28"/>
      <c r="O288" s="28"/>
      <c r="P288" s="28"/>
      <c r="Q288" s="28"/>
    </row>
    <row r="289" spans="2:17" s="8" customFormat="1" x14ac:dyDescent="0.25">
      <c r="B289" s="1"/>
      <c r="C289" s="1"/>
      <c r="D289" s="1"/>
      <c r="E289" s="1"/>
      <c r="F289" s="1"/>
      <c r="G289" s="15"/>
      <c r="H289" s="15"/>
      <c r="I289" s="1"/>
      <c r="K289" s="29"/>
      <c r="L289" s="34"/>
      <c r="M289" s="34"/>
      <c r="N289" s="28"/>
      <c r="O289" s="28"/>
      <c r="P289" s="28"/>
      <c r="Q289" s="28"/>
    </row>
    <row r="290" spans="2:17" s="8" customFormat="1" x14ac:dyDescent="0.25">
      <c r="B290" s="1"/>
      <c r="C290" s="1"/>
      <c r="D290" s="1"/>
      <c r="E290" s="1"/>
      <c r="F290" s="1"/>
      <c r="G290" s="15"/>
      <c r="H290" s="15"/>
      <c r="I290" s="1"/>
      <c r="K290" s="29"/>
      <c r="L290" s="34"/>
      <c r="M290" s="34"/>
      <c r="N290" s="28"/>
      <c r="O290" s="28"/>
      <c r="P290" s="28"/>
      <c r="Q290" s="28"/>
    </row>
    <row r="291" spans="2:17" s="8" customFormat="1" x14ac:dyDescent="0.25">
      <c r="B291" s="1"/>
      <c r="C291" s="1"/>
      <c r="D291" s="1"/>
      <c r="E291" s="1"/>
      <c r="F291" s="1"/>
      <c r="G291" s="15"/>
      <c r="H291" s="15"/>
      <c r="I291" s="1"/>
      <c r="K291" s="29"/>
      <c r="L291" s="34"/>
      <c r="M291" s="34"/>
      <c r="N291" s="28"/>
      <c r="O291" s="28"/>
      <c r="P291" s="28"/>
      <c r="Q291" s="28"/>
    </row>
    <row r="292" spans="2:17" s="8" customFormat="1" x14ac:dyDescent="0.25">
      <c r="B292" s="1"/>
      <c r="C292" s="1"/>
      <c r="D292" s="1"/>
      <c r="E292" s="1"/>
      <c r="F292" s="1"/>
      <c r="G292" s="15"/>
      <c r="H292" s="15"/>
      <c r="I292" s="1"/>
      <c r="K292" s="29"/>
      <c r="L292" s="34"/>
      <c r="M292" s="34"/>
      <c r="N292" s="28"/>
      <c r="O292" s="28"/>
      <c r="P292" s="28"/>
      <c r="Q292" s="28"/>
    </row>
    <row r="293" spans="2:17" s="8" customFormat="1" x14ac:dyDescent="0.25">
      <c r="B293" s="1"/>
      <c r="C293" s="1"/>
      <c r="D293" s="1"/>
      <c r="E293" s="1"/>
      <c r="F293" s="1"/>
      <c r="G293" s="15"/>
      <c r="H293" s="15"/>
      <c r="I293" s="1"/>
      <c r="K293" s="29"/>
      <c r="L293" s="34"/>
      <c r="M293" s="34"/>
      <c r="N293" s="28"/>
      <c r="O293" s="28"/>
      <c r="P293" s="28"/>
      <c r="Q293" s="28"/>
    </row>
    <row r="294" spans="2:17" s="8" customFormat="1" x14ac:dyDescent="0.25">
      <c r="B294" s="1"/>
      <c r="C294" s="1"/>
      <c r="D294" s="1"/>
      <c r="E294" s="1"/>
      <c r="F294" s="1"/>
      <c r="G294" s="15"/>
      <c r="H294" s="15"/>
      <c r="I294" s="1"/>
      <c r="K294" s="29"/>
      <c r="L294" s="34"/>
      <c r="M294" s="34"/>
      <c r="N294" s="28"/>
      <c r="O294" s="28"/>
      <c r="P294" s="28"/>
      <c r="Q294" s="28"/>
    </row>
    <row r="295" spans="2:17" s="8" customFormat="1" x14ac:dyDescent="0.25">
      <c r="B295" s="1"/>
      <c r="C295" s="1"/>
      <c r="D295" s="1"/>
      <c r="E295" s="1"/>
      <c r="F295" s="1"/>
      <c r="G295" s="15"/>
      <c r="H295" s="15"/>
      <c r="I295" s="1"/>
      <c r="K295" s="29"/>
      <c r="L295" s="34"/>
      <c r="M295" s="34"/>
      <c r="N295" s="28"/>
      <c r="O295" s="28"/>
      <c r="P295" s="28"/>
      <c r="Q295" s="28"/>
    </row>
    <row r="296" spans="2:17" s="8" customFormat="1" x14ac:dyDescent="0.25">
      <c r="B296" s="1"/>
      <c r="C296" s="1"/>
      <c r="D296" s="1"/>
      <c r="E296" s="1"/>
      <c r="F296" s="1"/>
      <c r="G296" s="15"/>
      <c r="H296" s="15"/>
      <c r="I296" s="1"/>
      <c r="K296" s="29"/>
      <c r="L296" s="34"/>
      <c r="M296" s="34"/>
      <c r="N296" s="28"/>
      <c r="O296" s="28"/>
      <c r="P296" s="28"/>
      <c r="Q296" s="28"/>
    </row>
    <row r="297" spans="2:17" s="8" customFormat="1" x14ac:dyDescent="0.25">
      <c r="B297" s="1"/>
      <c r="C297" s="1"/>
      <c r="D297" s="1"/>
      <c r="E297" s="1"/>
      <c r="F297" s="1"/>
      <c r="G297" s="15"/>
      <c r="H297" s="15"/>
      <c r="I297" s="1"/>
      <c r="K297" s="29"/>
      <c r="L297" s="34"/>
      <c r="M297" s="34"/>
      <c r="N297" s="28"/>
      <c r="O297" s="28"/>
      <c r="P297" s="28"/>
      <c r="Q297" s="28"/>
    </row>
    <row r="298" spans="2:17" s="8" customFormat="1" x14ac:dyDescent="0.25">
      <c r="B298" s="1"/>
      <c r="C298" s="1"/>
      <c r="D298" s="1"/>
      <c r="E298" s="1"/>
      <c r="F298" s="1"/>
      <c r="G298" s="15"/>
      <c r="H298" s="15"/>
      <c r="I298" s="1"/>
      <c r="K298" s="29"/>
      <c r="L298" s="34"/>
      <c r="M298" s="34"/>
      <c r="N298" s="28"/>
      <c r="O298" s="28"/>
      <c r="P298" s="28"/>
      <c r="Q298" s="28"/>
    </row>
    <row r="299" spans="2:17" s="8" customFormat="1" x14ac:dyDescent="0.25">
      <c r="B299" s="1"/>
      <c r="C299" s="1"/>
      <c r="D299" s="1"/>
      <c r="E299" s="1"/>
      <c r="F299" s="1"/>
      <c r="G299" s="15"/>
      <c r="H299" s="15"/>
      <c r="I299" s="1"/>
      <c r="K299" s="29"/>
      <c r="L299" s="34"/>
      <c r="M299" s="34"/>
      <c r="N299" s="28"/>
      <c r="O299" s="28"/>
      <c r="P299" s="28"/>
      <c r="Q299" s="28"/>
    </row>
    <row r="300" spans="2:17" s="8" customFormat="1" x14ac:dyDescent="0.25">
      <c r="B300" s="1"/>
      <c r="C300" s="1"/>
      <c r="D300" s="1"/>
      <c r="E300" s="1"/>
      <c r="F300" s="1"/>
      <c r="G300" s="15"/>
      <c r="H300" s="15"/>
      <c r="I300" s="1"/>
      <c r="K300" s="29"/>
      <c r="L300" s="34"/>
      <c r="M300" s="34"/>
      <c r="N300" s="28"/>
      <c r="O300" s="28"/>
      <c r="P300" s="28"/>
      <c r="Q300" s="28"/>
    </row>
    <row r="301" spans="2:17" s="8" customFormat="1" x14ac:dyDescent="0.25">
      <c r="B301" s="1"/>
      <c r="C301" s="1"/>
      <c r="D301" s="1"/>
      <c r="E301" s="1"/>
      <c r="F301" s="1"/>
      <c r="G301" s="15"/>
      <c r="H301" s="15"/>
      <c r="I301" s="1"/>
      <c r="K301" s="29"/>
      <c r="L301" s="34"/>
      <c r="M301" s="34"/>
      <c r="N301" s="28"/>
      <c r="O301" s="28"/>
      <c r="P301" s="28"/>
      <c r="Q301" s="28"/>
    </row>
    <row r="302" spans="2:17" s="8" customFormat="1" x14ac:dyDescent="0.25">
      <c r="B302" s="1"/>
      <c r="C302" s="1"/>
      <c r="D302" s="1"/>
      <c r="E302" s="1"/>
      <c r="F302" s="1"/>
      <c r="G302" s="15"/>
      <c r="H302" s="15"/>
      <c r="I302" s="1"/>
      <c r="K302" s="29"/>
      <c r="L302" s="34"/>
      <c r="M302" s="34"/>
      <c r="N302" s="28"/>
      <c r="O302" s="28"/>
      <c r="P302" s="28"/>
      <c r="Q302" s="28"/>
    </row>
    <row r="303" spans="2:17" s="8" customFormat="1" x14ac:dyDescent="0.25">
      <c r="B303" s="1"/>
      <c r="C303" s="1"/>
      <c r="D303" s="1"/>
      <c r="E303" s="1"/>
      <c r="F303" s="1"/>
      <c r="G303" s="15"/>
      <c r="H303" s="15"/>
      <c r="I303" s="1"/>
      <c r="K303" s="29"/>
      <c r="L303" s="34"/>
      <c r="M303" s="34"/>
      <c r="N303" s="28"/>
      <c r="O303" s="28"/>
      <c r="P303" s="28"/>
      <c r="Q303" s="28"/>
    </row>
    <row r="304" spans="2:17" s="8" customFormat="1" x14ac:dyDescent="0.25">
      <c r="B304" s="1"/>
      <c r="C304" s="1"/>
      <c r="D304" s="1"/>
      <c r="E304" s="1"/>
      <c r="F304" s="1"/>
      <c r="G304" s="15"/>
      <c r="H304" s="15"/>
      <c r="I304" s="1"/>
      <c r="K304" s="29"/>
      <c r="L304" s="34"/>
      <c r="M304" s="34"/>
      <c r="N304" s="28"/>
      <c r="O304" s="28"/>
      <c r="P304" s="28"/>
      <c r="Q304" s="28"/>
    </row>
    <row r="305" spans="2:17" s="8" customFormat="1" x14ac:dyDescent="0.25">
      <c r="B305" s="1"/>
      <c r="C305" s="1"/>
      <c r="D305" s="1"/>
      <c r="E305" s="1"/>
      <c r="F305" s="1"/>
      <c r="G305" s="15"/>
      <c r="H305" s="15"/>
      <c r="I305" s="1"/>
      <c r="K305" s="29"/>
      <c r="L305" s="34"/>
      <c r="M305" s="34"/>
      <c r="N305" s="28"/>
      <c r="O305" s="28"/>
      <c r="P305" s="28"/>
      <c r="Q305" s="28"/>
    </row>
    <row r="306" spans="2:17" s="8" customFormat="1" x14ac:dyDescent="0.25">
      <c r="B306" s="1"/>
      <c r="C306" s="1"/>
      <c r="D306" s="1"/>
      <c r="E306" s="1"/>
      <c r="F306" s="1"/>
      <c r="G306" s="15"/>
      <c r="H306" s="15"/>
      <c r="I306" s="1"/>
      <c r="K306" s="29"/>
      <c r="L306" s="34"/>
      <c r="M306" s="34"/>
      <c r="N306" s="28"/>
      <c r="O306" s="28"/>
      <c r="P306" s="28"/>
      <c r="Q306" s="28"/>
    </row>
    <row r="307" spans="2:17" s="8" customFormat="1" x14ac:dyDescent="0.25">
      <c r="B307" s="1"/>
      <c r="C307" s="1"/>
      <c r="D307" s="1"/>
      <c r="E307" s="1"/>
      <c r="F307" s="1"/>
      <c r="G307" s="15"/>
      <c r="H307" s="15"/>
      <c r="I307" s="1"/>
      <c r="K307" s="29"/>
      <c r="L307" s="34"/>
      <c r="M307" s="34"/>
      <c r="N307" s="28"/>
      <c r="O307" s="28"/>
      <c r="P307" s="28"/>
      <c r="Q307" s="28"/>
    </row>
    <row r="308" spans="2:17" s="8" customFormat="1" x14ac:dyDescent="0.25">
      <c r="B308" s="1"/>
      <c r="C308" s="1"/>
      <c r="D308" s="1"/>
      <c r="E308" s="1"/>
      <c r="F308" s="1"/>
      <c r="G308" s="15"/>
      <c r="H308" s="15"/>
      <c r="I308" s="1"/>
      <c r="K308" s="29"/>
      <c r="L308" s="34"/>
      <c r="M308" s="34"/>
      <c r="N308" s="28"/>
      <c r="O308" s="28"/>
      <c r="P308" s="28"/>
      <c r="Q308" s="28"/>
    </row>
    <row r="309" spans="2:17" s="8" customFormat="1" x14ac:dyDescent="0.25">
      <c r="B309" s="1"/>
      <c r="C309" s="1"/>
      <c r="D309" s="1"/>
      <c r="E309" s="1"/>
      <c r="F309" s="1"/>
      <c r="G309" s="15"/>
      <c r="H309" s="15"/>
      <c r="I309" s="1"/>
      <c r="K309" s="29"/>
      <c r="L309" s="34"/>
      <c r="M309" s="34"/>
      <c r="N309" s="28"/>
      <c r="O309" s="28"/>
      <c r="P309" s="28"/>
      <c r="Q309" s="28"/>
    </row>
    <row r="310" spans="2:17" s="8" customFormat="1" x14ac:dyDescent="0.25">
      <c r="B310" s="1"/>
      <c r="C310" s="1"/>
      <c r="D310" s="1"/>
      <c r="E310" s="1"/>
      <c r="F310" s="1"/>
      <c r="G310" s="15"/>
      <c r="H310" s="15"/>
      <c r="I310" s="1"/>
      <c r="K310" s="29"/>
      <c r="L310" s="34"/>
      <c r="M310" s="34"/>
      <c r="N310" s="28"/>
      <c r="O310" s="28"/>
      <c r="P310" s="28"/>
      <c r="Q310" s="28"/>
    </row>
    <row r="311" spans="2:17" s="8" customFormat="1" x14ac:dyDescent="0.25">
      <c r="B311" s="1"/>
      <c r="C311" s="1"/>
      <c r="D311" s="1"/>
      <c r="E311" s="1"/>
      <c r="F311" s="1"/>
      <c r="G311" s="15"/>
      <c r="H311" s="15"/>
      <c r="I311" s="1"/>
      <c r="K311" s="29"/>
      <c r="L311" s="34"/>
      <c r="M311" s="34"/>
      <c r="N311" s="28"/>
      <c r="O311" s="28"/>
      <c r="P311" s="28"/>
      <c r="Q311" s="28"/>
    </row>
    <row r="312" spans="2:17" s="8" customFormat="1" x14ac:dyDescent="0.25">
      <c r="B312" s="1"/>
      <c r="C312" s="1"/>
      <c r="D312" s="1"/>
      <c r="E312" s="1"/>
      <c r="F312" s="1"/>
      <c r="G312" s="15"/>
      <c r="H312" s="15"/>
      <c r="I312" s="1"/>
      <c r="K312" s="29"/>
      <c r="L312" s="34"/>
      <c r="M312" s="34"/>
      <c r="N312" s="28"/>
      <c r="O312" s="28"/>
      <c r="P312" s="28"/>
      <c r="Q312" s="28"/>
    </row>
    <row r="313" spans="2:17" s="8" customFormat="1" x14ac:dyDescent="0.25">
      <c r="B313" s="1"/>
      <c r="C313" s="1"/>
      <c r="D313" s="1"/>
      <c r="E313" s="1"/>
      <c r="F313" s="1"/>
      <c r="G313" s="15"/>
      <c r="H313" s="15"/>
      <c r="I313" s="1"/>
      <c r="K313" s="29"/>
      <c r="L313" s="34"/>
      <c r="M313" s="34"/>
      <c r="N313" s="28"/>
      <c r="O313" s="28"/>
      <c r="P313" s="28"/>
      <c r="Q313" s="28"/>
    </row>
    <row r="314" spans="2:17" s="8" customFormat="1" x14ac:dyDescent="0.25">
      <c r="B314" s="1"/>
      <c r="C314" s="1"/>
      <c r="D314" s="1"/>
      <c r="E314" s="1"/>
      <c r="F314" s="1"/>
      <c r="G314" s="15"/>
      <c r="H314" s="15"/>
      <c r="I314" s="1"/>
      <c r="K314" s="29"/>
      <c r="L314" s="34"/>
      <c r="M314" s="34"/>
      <c r="N314" s="28"/>
      <c r="O314" s="28"/>
      <c r="P314" s="28"/>
      <c r="Q314" s="28"/>
    </row>
    <row r="315" spans="2:17" s="8" customFormat="1" x14ac:dyDescent="0.25">
      <c r="B315" s="1"/>
      <c r="C315" s="1"/>
      <c r="D315" s="1"/>
      <c r="E315" s="1"/>
      <c r="F315" s="1"/>
      <c r="G315" s="15"/>
      <c r="H315" s="15"/>
      <c r="I315" s="1"/>
      <c r="K315" s="29"/>
      <c r="L315" s="34"/>
      <c r="M315" s="34"/>
      <c r="N315" s="28"/>
      <c r="O315" s="28"/>
      <c r="P315" s="28"/>
      <c r="Q315" s="28"/>
    </row>
    <row r="316" spans="2:17" s="8" customFormat="1" x14ac:dyDescent="0.25">
      <c r="B316" s="1"/>
      <c r="C316" s="1"/>
      <c r="D316" s="1"/>
      <c r="E316" s="1"/>
      <c r="F316" s="1"/>
      <c r="G316" s="15"/>
      <c r="H316" s="15"/>
      <c r="I316" s="1"/>
      <c r="K316" s="29"/>
      <c r="L316" s="34"/>
      <c r="M316" s="34"/>
      <c r="N316" s="28"/>
      <c r="O316" s="28"/>
      <c r="P316" s="28"/>
      <c r="Q316" s="28"/>
    </row>
    <row r="317" spans="2:17" s="8" customFormat="1" x14ac:dyDescent="0.25">
      <c r="B317" s="1"/>
      <c r="C317" s="1"/>
      <c r="D317" s="1"/>
      <c r="E317" s="1"/>
      <c r="F317" s="1"/>
      <c r="G317" s="15"/>
      <c r="H317" s="15"/>
      <c r="I317" s="1"/>
      <c r="K317" s="29"/>
      <c r="L317" s="34"/>
      <c r="M317" s="34"/>
      <c r="N317" s="28"/>
      <c r="O317" s="28"/>
      <c r="P317" s="28"/>
      <c r="Q317" s="28"/>
    </row>
    <row r="318" spans="2:17" s="8" customFormat="1" x14ac:dyDescent="0.25">
      <c r="B318" s="1"/>
      <c r="C318" s="1"/>
      <c r="D318" s="1"/>
      <c r="E318" s="1"/>
      <c r="F318" s="1"/>
      <c r="G318" s="15"/>
      <c r="H318" s="15"/>
      <c r="I318" s="1"/>
      <c r="K318" s="29"/>
      <c r="L318" s="34"/>
      <c r="M318" s="34"/>
      <c r="N318" s="28"/>
      <c r="O318" s="28"/>
      <c r="P318" s="28"/>
      <c r="Q318" s="28"/>
    </row>
    <row r="319" spans="2:17" s="8" customFormat="1" x14ac:dyDescent="0.25">
      <c r="B319" s="1"/>
      <c r="C319" s="1"/>
      <c r="D319" s="1"/>
      <c r="E319" s="1"/>
      <c r="F319" s="1"/>
      <c r="G319" s="15"/>
      <c r="H319" s="15"/>
      <c r="I319" s="1"/>
      <c r="K319" s="29"/>
      <c r="L319" s="34"/>
      <c r="M319" s="34"/>
      <c r="N319" s="28"/>
      <c r="O319" s="28"/>
      <c r="P319" s="28"/>
      <c r="Q319" s="28"/>
    </row>
    <row r="320" spans="2:17" s="8" customFormat="1" x14ac:dyDescent="0.25">
      <c r="B320" s="1"/>
      <c r="C320" s="1"/>
      <c r="D320" s="1"/>
      <c r="E320" s="1"/>
      <c r="F320" s="1"/>
      <c r="G320" s="15"/>
      <c r="H320" s="15"/>
      <c r="I320" s="1"/>
      <c r="K320" s="29"/>
      <c r="L320" s="34"/>
      <c r="M320" s="34"/>
      <c r="N320" s="28"/>
      <c r="O320" s="28"/>
      <c r="P320" s="28"/>
      <c r="Q320" s="28"/>
    </row>
    <row r="321" spans="2:17" s="8" customFormat="1" x14ac:dyDescent="0.25">
      <c r="B321" s="1"/>
      <c r="C321" s="1"/>
      <c r="D321" s="1"/>
      <c r="E321" s="1"/>
      <c r="F321" s="1"/>
      <c r="G321" s="15"/>
      <c r="H321" s="15"/>
      <c r="I321" s="1"/>
      <c r="K321" s="29"/>
      <c r="L321" s="34"/>
      <c r="M321" s="34"/>
      <c r="N321" s="28"/>
      <c r="O321" s="28"/>
      <c r="P321" s="28"/>
      <c r="Q321" s="28"/>
    </row>
    <row r="322" spans="2:17" s="8" customFormat="1" x14ac:dyDescent="0.25">
      <c r="B322" s="1"/>
      <c r="C322" s="1"/>
      <c r="D322" s="1"/>
      <c r="E322" s="1"/>
      <c r="F322" s="1"/>
      <c r="G322" s="15"/>
      <c r="H322" s="15"/>
      <c r="I322" s="1"/>
      <c r="K322" s="29"/>
      <c r="L322" s="34"/>
      <c r="M322" s="34"/>
      <c r="N322" s="28"/>
      <c r="O322" s="28"/>
      <c r="P322" s="28"/>
      <c r="Q322" s="28"/>
    </row>
    <row r="323" spans="2:17" s="8" customFormat="1" x14ac:dyDescent="0.25">
      <c r="B323" s="1"/>
      <c r="C323" s="1"/>
      <c r="D323" s="1"/>
      <c r="E323" s="1"/>
      <c r="F323" s="1"/>
      <c r="G323" s="15"/>
      <c r="H323" s="15"/>
      <c r="I323" s="1"/>
      <c r="K323" s="29"/>
      <c r="L323" s="34"/>
      <c r="M323" s="34"/>
      <c r="N323" s="28"/>
      <c r="O323" s="28"/>
      <c r="P323" s="28"/>
      <c r="Q323" s="28"/>
    </row>
    <row r="324" spans="2:17" s="8" customFormat="1" x14ac:dyDescent="0.25">
      <c r="B324" s="1"/>
      <c r="C324" s="1"/>
      <c r="D324" s="1"/>
      <c r="E324" s="1"/>
      <c r="F324" s="1"/>
      <c r="G324" s="15"/>
      <c r="H324" s="15"/>
      <c r="I324" s="1"/>
      <c r="K324" s="29"/>
      <c r="L324" s="34"/>
      <c r="M324" s="34"/>
      <c r="N324" s="28"/>
      <c r="O324" s="28"/>
      <c r="P324" s="28"/>
      <c r="Q324" s="28"/>
    </row>
    <row r="325" spans="2:17" x14ac:dyDescent="0.25">
      <c r="N325" s="28"/>
      <c r="O325" s="28"/>
      <c r="P325" s="28"/>
      <c r="Q325" s="28"/>
    </row>
  </sheetData>
  <autoFilter ref="A3:Q207" xr:uid="{00000000-0009-0000-0000-000000000000}">
    <filterColumn colId="10">
      <customFilters>
        <customFilter operator="notEqual" val=" "/>
      </customFilters>
    </filterColumn>
  </autoFilter>
  <mergeCells count="2">
    <mergeCell ref="K1:Q2"/>
    <mergeCell ref="F2:J2"/>
  </mergeCells>
  <pageMargins left="0.7" right="0.7" top="0.75" bottom="0.75" header="0.3" footer="0.3"/>
  <pageSetup scale="26"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election activeCell="D4" sqref="D4"/>
    </sheetView>
  </sheetViews>
  <sheetFormatPr defaultRowHeight="15" x14ac:dyDescent="0.25"/>
  <cols>
    <col min="3" max="3" width="22.140625" bestFit="1" customWidth="1"/>
    <col min="4" max="4" width="10.5703125" bestFit="1" customWidth="1"/>
    <col min="5" max="5" width="51.85546875" bestFit="1" customWidth="1"/>
    <col min="6" max="6" width="49.140625" bestFit="1" customWidth="1"/>
  </cols>
  <sheetData>
    <row r="1" spans="1:8" ht="60" x14ac:dyDescent="0.25">
      <c r="A1" s="5" t="s">
        <v>1092</v>
      </c>
      <c r="B1" s="5" t="s">
        <v>1093</v>
      </c>
      <c r="C1" s="46" t="s">
        <v>1094</v>
      </c>
      <c r="D1" s="5" t="s">
        <v>1095</v>
      </c>
      <c r="E1" s="5" t="s">
        <v>1096</v>
      </c>
      <c r="F1" s="5" t="s">
        <v>8</v>
      </c>
      <c r="G1" s="5" t="s">
        <v>9</v>
      </c>
      <c r="H1" s="5" t="s">
        <v>10</v>
      </c>
    </row>
    <row r="2" spans="1:8" ht="15.75" x14ac:dyDescent="0.25">
      <c r="A2" s="44"/>
      <c r="B2" s="44"/>
      <c r="C2" s="43"/>
      <c r="D2" s="45"/>
      <c r="E2" s="43"/>
      <c r="F2" s="43"/>
      <c r="G2" s="44"/>
      <c r="H2" s="4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7714b7-1f72-4f8d-a841-76860ca5a7cc">
      <Terms xmlns="http://schemas.microsoft.com/office/infopath/2007/PartnerControls"/>
    </lcf76f155ced4ddcb4097134ff3c332f>
    <TaxCatchAll xmlns="a1b42fff-3491-42b9-b67c-3fbac2e5821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D0DBF78E7573498E57FF5AEF12177C" ma:contentTypeVersion="16" ma:contentTypeDescription="Create a new document." ma:contentTypeScope="" ma:versionID="50af6f85f350a027b92bfcbd27e70fa2">
  <xsd:schema xmlns:xsd="http://www.w3.org/2001/XMLSchema" xmlns:xs="http://www.w3.org/2001/XMLSchema" xmlns:p="http://schemas.microsoft.com/office/2006/metadata/properties" xmlns:ns2="697714b7-1f72-4f8d-a841-76860ca5a7cc" xmlns:ns3="0c7b88d9-e746-476a-9481-c5b43b24eb14" xmlns:ns4="a1b42fff-3491-42b9-b67c-3fbac2e58215" targetNamespace="http://schemas.microsoft.com/office/2006/metadata/properties" ma:root="true" ma:fieldsID="8f29217f6b307770cbf8cec00f0358ca" ns2:_="" ns3:_="" ns4:_="">
    <xsd:import namespace="697714b7-1f72-4f8d-a841-76860ca5a7cc"/>
    <xsd:import namespace="0c7b88d9-e746-476a-9481-c5b43b24eb14"/>
    <xsd:import namespace="a1b42fff-3491-42b9-b67c-3fbac2e582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714b7-1f72-4f8d-a841-76860ca5a7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d066b9f-01a5-4ae2-9820-f7f0feb12bf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c7b88d9-e746-476a-9481-c5b43b24eb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b42fff-3491-42b9-b67c-3fbac2e58215"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b41d054f-9aa0-45c7-8f20-6b8265098a8a}" ma:internalName="TaxCatchAll" ma:showField="CatchAllData" ma:web="0c7b88d9-e746-476a-9481-c5b43b24eb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077472-46FD-4680-A548-3C4F5599669F}">
  <ds:schemaRefs>
    <ds:schemaRef ds:uri="http://schemas.microsoft.com/office/2006/metadata/properties"/>
    <ds:schemaRef ds:uri="http://schemas.microsoft.com/office/infopath/2007/PartnerControls"/>
    <ds:schemaRef ds:uri="697714b7-1f72-4f8d-a841-76860ca5a7cc"/>
    <ds:schemaRef ds:uri="a1b42fff-3491-42b9-b67c-3fbac2e58215"/>
  </ds:schemaRefs>
</ds:datastoreItem>
</file>

<file path=customXml/itemProps2.xml><?xml version="1.0" encoding="utf-8"?>
<ds:datastoreItem xmlns:ds="http://schemas.openxmlformats.org/officeDocument/2006/customXml" ds:itemID="{5B490F38-3833-490E-B456-4BB7506C12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7714b7-1f72-4f8d-a841-76860ca5a7cc"/>
    <ds:schemaRef ds:uri="0c7b88d9-e746-476a-9481-c5b43b24eb14"/>
    <ds:schemaRef ds:uri="a1b42fff-3491-42b9-b67c-3fbac2e582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8250A7-1411-4C1A-B09C-32BAEBB714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Deltek EVMS-DECM Metrics V5.0</vt:lpstr>
      <vt:lpstr>Deleted in V5.0</vt:lpstr>
      <vt:lpstr>'Deltek EVMS-DECM Metrics V5.0'!evaslookup</vt:lpstr>
      <vt:lpstr>'Deltek EVMS-DECM Metrics V5.0'!Print_Titles</vt:lpstr>
    </vt:vector>
  </TitlesOfParts>
  <Manager/>
  <Company>DCMA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Goldsmith, Daniel J</dc:creator>
  <cp:keywords/>
  <dc:description/>
  <cp:lastModifiedBy>dpolitte</cp:lastModifiedBy>
  <cp:revision/>
  <dcterms:created xsi:type="dcterms:W3CDTF">2015-09-25T13:01:23Z</dcterms:created>
  <dcterms:modified xsi:type="dcterms:W3CDTF">2026-04-07T17:44:59Z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0x010100A0D0DBF78E7573498E57FF5AEF12177C</vt:lpwstr>
  </property>
</Properties>
</file>